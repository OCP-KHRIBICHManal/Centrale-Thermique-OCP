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PFE Master EME 2026\"/>
    </mc:Choice>
  </mc:AlternateContent>
  <xr:revisionPtr revIDLastSave="0" documentId="13_ncr:1_{C825CCA0-4611-4BBB-B6C5-2ADD810D1EDD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1_Parametres_Fixes" sheetId="1" r:id="rId1"/>
    <sheet name="2_Variables_Entree" sheetId="2" r:id="rId2"/>
    <sheet name="3_Variables_Decision" sheetId="3" r:id="rId3"/>
    <sheet name="4_Bilans_Contraintes" sheetId="4" r:id="rId4"/>
    <sheet name="5_Mesures_Reelles" sheetId="5" r:id="rId5"/>
    <sheet name="6_Diagnostic_Solu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4" l="1"/>
</calcChain>
</file>

<file path=xl/sharedStrings.xml><?xml version="1.0" encoding="utf-8"?>
<sst xmlns="http://schemas.openxmlformats.org/spreadsheetml/2006/main" count="678" uniqueCount="430">
  <si>
    <t>PARAMÈTRES FIXES — CENTRALE THERMIQUE  |  Valeurs Nominales RATED  |  GE Nuovo Pignone SOL17797</t>
  </si>
  <si>
    <t>1.  ADMISSION VAPEUR HP  —  Collecteur HP</t>
  </si>
  <si>
    <t>Paramètre</t>
  </si>
  <si>
    <t>Description</t>
  </si>
  <si>
    <t>Valeur Nominale</t>
  </si>
  <si>
    <t>Unité</t>
  </si>
  <si>
    <t>—</t>
  </si>
  <si>
    <t>Source</t>
  </si>
  <si>
    <t>P_HP</t>
  </si>
  <si>
    <t>Pression collecteur HP</t>
  </si>
  <si>
    <t>Bar</t>
  </si>
  <si>
    <t>Schéma centrale P&amp;ID</t>
  </si>
  <si>
    <t>T_HP</t>
  </si>
  <si>
    <t>Température vapeur HP</t>
  </si>
  <si>
    <t>°C</t>
  </si>
  <si>
    <t>h_HP</t>
  </si>
  <si>
    <t>Enthalpie spécifique vapeur HP</t>
  </si>
  <si>
    <t>kJ/kg</t>
  </si>
  <si>
    <t>GE Perf. Table — RATED</t>
  </si>
  <si>
    <t>Q_HP_max</t>
  </si>
  <si>
    <t>Débit max HP (cadence 100%) depuis SAP</t>
  </si>
  <si>
    <t>T/h</t>
  </si>
  <si>
    <t>Simulateur Excel JFC</t>
  </si>
  <si>
    <t>2.  TURBINE  —  GE Nuovo Pignone  |  3000 RPM</t>
  </si>
  <si>
    <t>Vitesse de rotation</t>
  </si>
  <si>
    <t>RPM</t>
  </si>
  <si>
    <t>eta_generateur</t>
  </si>
  <si>
    <t>Rendement génératrice</t>
  </si>
  <si>
    <t>P_elec_min</t>
  </si>
  <si>
    <t>Puissance électrique minimale</t>
  </si>
  <si>
    <t>kW</t>
  </si>
  <si>
    <t>Schéma P&amp;ID centrale</t>
  </si>
  <si>
    <t>P_elec_max</t>
  </si>
  <si>
    <t>Puissance électrique maximale</t>
  </si>
  <si>
    <t>Q_min_sout_MP</t>
  </si>
  <si>
    <t>Débit min turbine — soutirage MP actif (Flange 1)</t>
  </si>
  <si>
    <t>GE Perf. Table — Note 4</t>
  </si>
  <si>
    <t>Q_min_sout_LP</t>
  </si>
  <si>
    <t>GE Perf. Table — Note 3</t>
  </si>
  <si>
    <t>Pression collecteur MP</t>
  </si>
  <si>
    <t>Température collecteur MP</t>
  </si>
  <si>
    <t>h_MP</t>
  </si>
  <si>
    <t>Enthalpie vapeur MP — collecteur (12 Bar/270°C)</t>
  </si>
  <si>
    <t>Tables vapeur</t>
  </si>
  <si>
    <t>P_MP_bleed_F1</t>
  </si>
  <si>
    <t>Pression bride Flange 1 turbine</t>
  </si>
  <si>
    <t>Bar a</t>
  </si>
  <si>
    <t>T_MP_bleed_F1</t>
  </si>
  <si>
    <t>Température bride Flange 1</t>
  </si>
  <si>
    <t>h_MP_bleed_F1</t>
  </si>
  <si>
    <t>Enthalpie bride Flange 1</t>
  </si>
  <si>
    <t>Q_MP_bleed_nom</t>
  </si>
  <si>
    <t>Débit soutirage MP nominal</t>
  </si>
  <si>
    <t>Pression collecteur BP</t>
  </si>
  <si>
    <t>Température collecteur BP</t>
  </si>
  <si>
    <t>h_BP</t>
  </si>
  <si>
    <t>Enthalpie vapeur BP — collecteur (5 Bar/190°C)</t>
  </si>
  <si>
    <t>P_LP_F2_bleed</t>
  </si>
  <si>
    <t>Pression bride Flange 2 LP</t>
  </si>
  <si>
    <t>T_LP_F2_bleed</t>
  </si>
  <si>
    <t>Température bride Flange 2 LP</t>
  </si>
  <si>
    <t>h_LP_F2_bleed</t>
  </si>
  <si>
    <t>Enthalpie bride Flange 2 LP</t>
  </si>
  <si>
    <t>Q_LP_F2_bleed_nom</t>
  </si>
  <si>
    <t>Débit soutirage LP Flange 2 nominal</t>
  </si>
  <si>
    <t>P_cond</t>
  </si>
  <si>
    <t>Pression condenseur</t>
  </si>
  <si>
    <t>T_cond</t>
  </si>
  <si>
    <t>Température condenseur</t>
  </si>
  <si>
    <t>h_exhaust</t>
  </si>
  <si>
    <t>Enthalpie vapeur échappement turbine</t>
  </si>
  <si>
    <t>Tables vapeur 0.081 Bar</t>
  </si>
  <si>
    <t>6.  DÉTENTES BYPASS  —  HP→MP (PV-004) &amp; HP→BP (PV-024)</t>
  </si>
  <si>
    <t>Q_det_HP_MP</t>
  </si>
  <si>
    <t>Débit détente HP→MP  →  variable de décision x2</t>
  </si>
  <si>
    <t>Calculé par optimiseur</t>
  </si>
  <si>
    <t>Q_det_HP_BP</t>
  </si>
  <si>
    <t>Débit détente HP→BP  →  variable de décision x3</t>
  </si>
  <si>
    <t>Q_DAP_MP</t>
  </si>
  <si>
    <t>Q_DAP_BP</t>
  </si>
  <si>
    <t>Q_ejecteur</t>
  </si>
  <si>
    <t>VARIABLES D'ENTRÉE  —  À saisir à chaque simulation</t>
  </si>
  <si>
    <t>A.  CADENCE SAP  —  Détermine le débit HP disponible</t>
  </si>
  <si>
    <t>Valeur saisie</t>
  </si>
  <si>
    <t>Relation / Remarque</t>
  </si>
  <si>
    <t>Cadence</t>
  </si>
  <si>
    <t>Cadence production SAP (%)</t>
  </si>
  <si>
    <t>→ saisir</t>
  </si>
  <si>
    <t>%</t>
  </si>
  <si>
    <t>0% ≤ Cadence ≤ 100%</t>
  </si>
  <si>
    <t>Q_HP_dispo</t>
  </si>
  <si>
    <t>Débit HP disponible (calculé)</t>
  </si>
  <si>
    <t>← calculé</t>
  </si>
  <si>
    <t>Q_HP_dispo = (Cadence/100) × 217</t>
  </si>
  <si>
    <t>Relation Cadence — 3 cas clés</t>
  </si>
  <si>
    <t>Cas</t>
  </si>
  <si>
    <t>Conséquence</t>
  </si>
  <si>
    <t>Cadence = 100%</t>
  </si>
  <si>
    <t>Production max — tout vers turbine</t>
  </si>
  <si>
    <t>100%</t>
  </si>
  <si>
    <t>217 T/h</t>
  </si>
  <si>
    <t>Pas de bypass — soutirages seuls suffisent</t>
  </si>
  <si>
    <t>Cadence &lt; 100%</t>
  </si>
  <si>
    <t>Production réduite</t>
  </si>
  <si>
    <t>&lt; 100%</t>
  </si>
  <si>
    <t>&lt; 217 T/h</t>
  </si>
  <si>
    <t>Bypass peut être nécessaire</t>
  </si>
  <si>
    <t>Cadence = 0%</t>
  </si>
  <si>
    <t>Arrêt complet</t>
  </si>
  <si>
    <t>0%</t>
  </si>
  <si>
    <t>0 T/h</t>
  </si>
  <si>
    <t>Centrale à l'arrêt</t>
  </si>
  <si>
    <t>B.  DEMANDES CLIENTS  —  Contraintes à satisfaire (ne pas dépasser les max)</t>
  </si>
  <si>
    <t>Client / Paramètre</t>
  </si>
  <si>
    <t>Demande Max</t>
  </si>
  <si>
    <t>Remarque</t>
  </si>
  <si>
    <t>D_MP_JBH</t>
  </si>
  <si>
    <t>Client JBH — vapeur MP</t>
  </si>
  <si>
    <t>à préciser</t>
  </si>
  <si>
    <t>Max à confirmer avec l'entreprise</t>
  </si>
  <si>
    <t>DAP côté MP (fixe)</t>
  </si>
  <si>
    <t>Toujours 3 T/h</t>
  </si>
  <si>
    <t>Éjecteur (fixe MP)</t>
  </si>
  <si>
    <t>Toujours 1.22 T/h</t>
  </si>
  <si>
    <t>D_BP_J</t>
  </si>
  <si>
    <t>Client J — vapeur BP</t>
  </si>
  <si>
    <t>Max = 40 T/h</t>
  </si>
  <si>
    <t>D_BP_K</t>
  </si>
  <si>
    <t>Client K — vapeur BP</t>
  </si>
  <si>
    <t>D_BP_L</t>
  </si>
  <si>
    <t>Client L — vapeur BP</t>
  </si>
  <si>
    <t>DAP côté BP (fixe)</t>
  </si>
  <si>
    <t>D_BP_total_max</t>
  </si>
  <si>
    <t>TOTAL max demande BP (J+K+L+DAP)</t>
  </si>
  <si>
    <t>Q_HRS_entrant</t>
  </si>
  <si>
    <t>HRS — vapeur BP ENTRANTE collecteur BP</t>
  </si>
  <si>
    <t>Apport → réduit demande nette BP</t>
  </si>
  <si>
    <t>VARIABLES DE DÉCISION  —  Outputs calculés par l'optimiseur</t>
  </si>
  <si>
    <t>Les 6 variables que l'optimiseur détermine pour la configuration optimale</t>
  </si>
  <si>
    <t>Variable</t>
  </si>
  <si>
    <t>Valeur ref. RATED</t>
  </si>
  <si>
    <t>Contrainte</t>
  </si>
  <si>
    <t>x1 = Q_turbine</t>
  </si>
  <si>
    <t>Débit vapeur HP → Turbine</t>
  </si>
  <si>
    <t>100 ≤ x1 ≤ Q_HP_dispo</t>
  </si>
  <si>
    <t>x2 = Q_det_HP_MP</t>
  </si>
  <si>
    <t>Débit détente bypass HP → MP  (PV-004)</t>
  </si>
  <si>
    <t>x2 ≥ 0</t>
  </si>
  <si>
    <t>x3 = Q_det_HP_BP</t>
  </si>
  <si>
    <t>Débit détente bypass HP → BP  (PV-024)</t>
  </si>
  <si>
    <t>x3 ≥ 0</t>
  </si>
  <si>
    <t>x4 = Q_sout_MP</t>
  </si>
  <si>
    <t>Soutirage MP depuis turbine  (Flange 1)</t>
  </si>
  <si>
    <t>0 ≤ x4 ≤ 25</t>
  </si>
  <si>
    <t>x5 = Q_sout_LP</t>
  </si>
  <si>
    <t>Soutirage LP/BP depuis turbine  (Fl. 2+3)</t>
  </si>
  <si>
    <t>0 ≤ x5 ≤ 130</t>
  </si>
  <si>
    <t>x6 = Q_condenseur</t>
  </si>
  <si>
    <t>x6 = x1−x4−x5 ≥ 0</t>
  </si>
  <si>
    <t>BILANS MASSIQUES, ENTHALPIQUES &amp; CONTRAINTES  —  Équations du modèle</t>
  </si>
  <si>
    <t>BILAN MASSIQUE — NŒUD HP</t>
  </si>
  <si>
    <t>Équation</t>
  </si>
  <si>
    <t>Signification</t>
  </si>
  <si>
    <t>Valeur nominale</t>
  </si>
  <si>
    <t>Type</t>
  </si>
  <si>
    <t>Q_HP_dispo = x1 + x2 + x3</t>
  </si>
  <si>
    <t>Débit HP = turbine + détente MP + détente BP</t>
  </si>
  <si>
    <t>Égalité</t>
  </si>
  <si>
    <t>BILAN MASSIQUE — NŒUD MP</t>
  </si>
  <si>
    <t>x2 + x4 = Q_DAP_MP + Q_eject + D_MP_JBH</t>
  </si>
  <si>
    <t>BILAN MASSIQUE — NŒUD BP</t>
  </si>
  <si>
    <t>BILAN MASSIQUE — TURBINE</t>
  </si>
  <si>
    <t>x1 = x4 + x5 + x6</t>
  </si>
  <si>
    <t>Entrée = soutirage MP + LP + condenseur</t>
  </si>
  <si>
    <t>x6 = x1 − x4 − x5</t>
  </si>
  <si>
    <t>Condenseur = résidu turbine (variable)</t>
  </si>
  <si>
    <t>Calculé</t>
  </si>
  <si>
    <t>BILAN ENTHALPIQUE — PUISSANCE</t>
  </si>
  <si>
    <t>Calcul</t>
  </si>
  <si>
    <t>Puissance électrique aux bornes</t>
  </si>
  <si>
    <t>53 446 kW</t>
  </si>
  <si>
    <t>Efficacité globale — FONCTION OBJECTIF</t>
  </si>
  <si>
    <t>→ MAX</t>
  </si>
  <si>
    <t>Objectif ★</t>
  </si>
  <si>
    <t>CONTRAINTES D'OPTIMISATION</t>
  </si>
  <si>
    <t>Borne inf.</t>
  </si>
  <si>
    <t>Borne sup.</t>
  </si>
  <si>
    <t>x1+x2+x3 = Q_HP_dispo</t>
  </si>
  <si>
    <t>Bilan HP — tout le débit distribué</t>
  </si>
  <si>
    <t>0 ≤ x1 ≤ Q_HP_dispo</t>
  </si>
  <si>
    <t>Débit turbine borné</t>
  </si>
  <si>
    <t>Technique</t>
  </si>
  <si>
    <t>Débit min turbine pour MP</t>
  </si>
  <si>
    <t>Constructeur GE</t>
  </si>
  <si>
    <t>Débit min turbine pour LP</t>
  </si>
  <si>
    <t>Détente HP→MP physique</t>
  </si>
  <si>
    <t>Physique</t>
  </si>
  <si>
    <t>Détente HP→BP physique</t>
  </si>
  <si>
    <t>Soutirage MP borné</t>
  </si>
  <si>
    <t>Soutirage LP borné</t>
  </si>
  <si>
    <t>Condenseur positif</t>
  </si>
  <si>
    <t>Puissance dans les limites</t>
  </si>
  <si>
    <t>Opératoire</t>
  </si>
  <si>
    <t>x2+x4 ≥ D_MP_JBH+Q_DAP_MP+Q_eject</t>
  </si>
  <si>
    <t>Satisfaction clients MP — OBLIGATOIRE</t>
  </si>
  <si>
    <t>Client ⚠️</t>
  </si>
  <si>
    <t>x3+x5+Q_HRS ≥ D_BP_J+K+L+Q_DAP_BP</t>
  </si>
  <si>
    <t>Satisfaction clients BP — OBLIGATOIRE</t>
  </si>
  <si>
    <t>Point de mesure</t>
  </si>
  <si>
    <t>Valeur Mesurée</t>
  </si>
  <si>
    <t>Q_sout_MP_mes</t>
  </si>
  <si>
    <t>Q_sout_LP_mes</t>
  </si>
  <si>
    <t>Débit détente bypass HP→MP</t>
  </si>
  <si>
    <t>P_elec_mes</t>
  </si>
  <si>
    <t>Puissance électrique produite</t>
  </si>
  <si>
    <t>P_cond_mes</t>
  </si>
  <si>
    <t>T_cond_mes</t>
  </si>
  <si>
    <t>T_HP_mes</t>
  </si>
  <si>
    <t>P_HP_mes</t>
  </si>
  <si>
    <t>DIAGNOSTIC &amp; SOLUTIONS  —  Comparaison Nominal vs Mesuré  |  Alertes &amp; Recommandations</t>
  </si>
  <si>
    <t>Seuils d'alerte</t>
  </si>
  <si>
    <t>Statut</t>
  </si>
  <si>
    <t>Seuil écart</t>
  </si>
  <si>
    <t>Action</t>
  </si>
  <si>
    <t>✅  OK</t>
  </si>
  <si>
    <t>| Écart | &lt; 5%</t>
  </si>
  <si>
    <t>Fonctionnement normal</t>
  </si>
  <si>
    <t>Aucune action requise</t>
  </si>
  <si>
    <t>⚠️  WARNING</t>
  </si>
  <si>
    <t>5% ≤ | Écart | &lt; 10%</t>
  </si>
  <si>
    <t>Anomalie détectée</t>
  </si>
  <si>
    <t>Surveiller — planifier intervention</t>
  </si>
  <si>
    <t>🔴  CRITIQUE</t>
  </si>
  <si>
    <t>| Écart | ≥ 10%</t>
  </si>
  <si>
    <t>Perte significative</t>
  </si>
  <si>
    <t>Intervention urgente requise</t>
  </si>
  <si>
    <t>Table de Diagnostic — Causes &amp; Solutions par point de mesure</t>
  </si>
  <si>
    <t>Écart (%)</t>
  </si>
  <si>
    <t>Cause probable</t>
  </si>
  <si>
    <t>Solution recommandée</t>
  </si>
  <si>
    <t>Q_HP_entree</t>
  </si>
  <si>
    <t>← mesure</t>
  </si>
  <si>
    <t>Fuite sur ligne HP ou vanne HV-007 mal réglée</t>
  </si>
  <si>
    <t>Inspection tuyauterie HP + recalibrage HV-007</t>
  </si>
  <si>
    <t>Q_turbine</t>
  </si>
  <si>
    <t>Vanne admission HV-012 défaillante ou encrassée</t>
  </si>
  <si>
    <t>Vérification + nettoyage vanne HV-012</t>
  </si>
  <si>
    <t>Q_sout_MP</t>
  </si>
  <si>
    <t>Vanne soutirage MP (PV-004) mal réglée ou défaillante</t>
  </si>
  <si>
    <t>Recalibrage ou remplacement vanne PV-004</t>
  </si>
  <si>
    <t>Q_sout_LP</t>
  </si>
  <si>
    <t>Vanne soutirage LP (PV-024) mal réglée ou défaillante</t>
  </si>
  <si>
    <t>Recalibrage ou remplacement vanne PV-024</t>
  </si>
  <si>
    <t>Détente bypass HP→MP ouverte anormalement</t>
  </si>
  <si>
    <t>Vérifier consigne vanne PV-004 bypass</t>
  </si>
  <si>
    <t>Détente bypass HP→BP ouverte anormalement</t>
  </si>
  <si>
    <t>Vérifier consigne vanne PV-024 bypass</t>
  </si>
  <si>
    <t>P_elec</t>
  </si>
  <si>
    <t>Dégradation turbine ou génératrice (rendement réduit)</t>
  </si>
  <si>
    <t>Inspection turbine — contrôle étanchéité étages</t>
  </si>
  <si>
    <t>Q_refroid_cond</t>
  </si>
  <si>
    <t>Encrassement faisceaux condenseur (entartrage/bio)</t>
  </si>
  <si>
    <t>Nettoyage faisceaux condenseur — curage chimique</t>
  </si>
  <si>
    <t>Perte de vide condenseur — fuite air ou pompes vide</t>
  </si>
  <si>
    <t>Vérifier pompes à vide + étanchéité condenseur</t>
  </si>
  <si>
    <t>Eau de refroidissement trop chaude ou débit insuffisant</t>
  </si>
  <si>
    <t>Vérifier circuit eau refroid. + tour de refroidissement</t>
  </si>
  <si>
    <t>Anomalie chaudière ou désurchauffe excessive</t>
  </si>
  <si>
    <t>Contrôler système désurchauffe TV-003 / TV-023</t>
  </si>
  <si>
    <t>Chute pression HP — fuite amont ou problème SAP</t>
  </si>
  <si>
    <t>Inspection ligne HP + coordination avec unité sulfurique</t>
  </si>
  <si>
    <t>Alimentation MP = clients MP</t>
  </si>
  <si>
    <t>Alimentation BP = clients BP</t>
  </si>
  <si>
    <t>x3 + x5 + Q_HRS = D_BP_(J+K+L) + Q_DAP_BP</t>
  </si>
  <si>
    <t xml:space="preserve">MAX  eta = </t>
  </si>
  <si>
    <t>x1 ≥ 100  si soutirage  LP actif</t>
  </si>
  <si>
    <t>Q_HP_disp</t>
  </si>
  <si>
    <t>≤3</t>
  </si>
  <si>
    <t>≤1</t>
  </si>
  <si>
    <t>≤40</t>
  </si>
  <si>
    <t>≤123</t>
  </si>
  <si>
    <t>≤72</t>
  </si>
  <si>
    <t>Débit échappement → condenseur VARIABLE</t>
  </si>
  <si>
    <t>W_turbine</t>
  </si>
  <si>
    <t>Débit min turbine — soutirage LP (Flanges1&amp;2&amp;3)</t>
  </si>
  <si>
    <t>3.  Vapeur  MP  —  Soutirage Flange 1  (Collecteur MP : 12 Bar / 270°C)</t>
  </si>
  <si>
    <t>P_ collect_MP</t>
  </si>
  <si>
    <t>T_collect_MP</t>
  </si>
  <si>
    <t>P_collect_BP</t>
  </si>
  <si>
    <t>T_collect_BP</t>
  </si>
  <si>
    <t>#</t>
  </si>
  <si>
    <t>Paramètre (code Python)</t>
  </si>
  <si>
    <t xml:space="preserve">  ADMISSION HP — Collecteur 60 Bar</t>
  </si>
  <si>
    <t>Pression vapeur HP</t>
  </si>
  <si>
    <t>515APG10.PIC-328</t>
  </si>
  <si>
    <t>Kg/cm²</t>
  </si>
  <si>
    <t>515APG10.TIC-327</t>
  </si>
  <si>
    <t>Q_HP_mes</t>
  </si>
  <si>
    <t>Débit vapeur HP entrant (SAP)</t>
  </si>
  <si>
    <t xml:space="preserve">  TURBINE — GE Nuovo Pignone 3000 RPM</t>
  </si>
  <si>
    <t>MW</t>
  </si>
  <si>
    <t>N_turb_mes</t>
  </si>
  <si>
    <t>Vitesse rotation turbine</t>
  </si>
  <si>
    <t>515APG10.SE-288</t>
  </si>
  <si>
    <t>515APG10.PIC-004</t>
  </si>
  <si>
    <t>515APG10.TIC-003</t>
  </si>
  <si>
    <t>515APG10.FI-005</t>
  </si>
  <si>
    <t>515APG10.FI-104</t>
  </si>
  <si>
    <t>Q_det_MP_mes</t>
  </si>
  <si>
    <t>515APG10.FI021</t>
  </si>
  <si>
    <t xml:space="preserve">  CONDENSEUR</t>
  </si>
  <si>
    <t>515APG10.FI370</t>
  </si>
  <si>
    <t xml:space="preserve">MESURES RÉELLES — Tags PI  |  Centrale Thermique </t>
  </si>
  <si>
    <t xml:space="preserve">Tag PI </t>
  </si>
  <si>
    <t xml:space="preserve">➤  Connecter PI DataLink  →  Les cases vertes se remplissent automatiquement  </t>
  </si>
  <si>
    <t>Mesures reelles</t>
  </si>
  <si>
    <t>4.  SOUTIRAGE LP/BP  —  Soutirage Flanges 1  (Collecteur BP : 5 Bar / 190°C)</t>
  </si>
  <si>
    <t>5.  Vapeur au CONDENSEUR  —  Paramètres thermodynamiques fixes</t>
  </si>
  <si>
    <t>Pression  vapeur condenseur</t>
  </si>
  <si>
    <t>Température vapeur  condenseur</t>
  </si>
  <si>
    <t>Q_det_vap_ cond</t>
  </si>
  <si>
    <t xml:space="preserve">Debit de vapeur entrant au  condenseur </t>
  </si>
  <si>
    <t>10000 ≤ P_elec ≤ 63 000</t>
  </si>
  <si>
    <t>x1 ≥ 200  si soutirage  MP actif</t>
  </si>
  <si>
    <t>P_elec = ((x1-x4-x5)/3,5)+(x4/8)+(x5/6,5)</t>
  </si>
  <si>
    <r>
      <t xml:space="preserve">  </t>
    </r>
    <r>
      <rPr>
        <b/>
        <sz val="9"/>
        <color theme="0"/>
        <rFont val="Arial"/>
        <family val="2"/>
      </rPr>
      <t>SOUTIRAGE MP — Collecteur 12 Bar</t>
    </r>
  </si>
  <si>
    <t>ℹ️  Écart (%) = (Mesuré − Nominal) / Nominal × 100.  |  🟡 Cases jaunes = valeurs mesurées DCS .  |  🟢 Cases vertes = calculées automatiquement.  |  Solutions = recommandations basées sur expérience opératoire centrale.</t>
  </si>
  <si>
    <t>515APG10.FI-203</t>
  </si>
  <si>
    <t>515APG10.JT-963A</t>
  </si>
  <si>
    <t>Q_HP entrant la turbine _mes</t>
  </si>
  <si>
    <t>Debit de vapeur hp entrant a la turbine</t>
  </si>
  <si>
    <t>515APG10.FI-151</t>
  </si>
  <si>
    <t>P_HP entrant la turbine _mes</t>
  </si>
  <si>
    <t>Pression de vapeur hp entrant a la turbine</t>
  </si>
  <si>
    <t>515APG10.PI-153</t>
  </si>
  <si>
    <t>T_HP entrant a la turbine _mes</t>
  </si>
  <si>
    <t>Temperaturevapeur HP  entrant a la turbine</t>
  </si>
  <si>
    <t>515APG10.TI-154</t>
  </si>
  <si>
    <t>515APG10.FI-541</t>
  </si>
  <si>
    <t xml:space="preserve">Débit soutirage LP </t>
  </si>
  <si>
    <t xml:space="preserve">Débit soutirage MP </t>
  </si>
  <si>
    <t xml:space="preserve">  DÉTENTES BYPASS MP</t>
  </si>
  <si>
    <t>P_det_MP_mes</t>
  </si>
  <si>
    <t>T_det_MP_mes</t>
  </si>
  <si>
    <t xml:space="preserve">  DÉTENTES BYPASS BP</t>
  </si>
  <si>
    <t xml:space="preserve">  SOUTIRAGE BP — Collecteur 5 Bar</t>
  </si>
  <si>
    <t>P_det_BP_mes</t>
  </si>
  <si>
    <t>Pression détente bypass HP→BP</t>
  </si>
  <si>
    <t>515APG10.PI-032</t>
  </si>
  <si>
    <t>T_det_BP_mes</t>
  </si>
  <si>
    <t>Temperature détente bypass HP→BP</t>
  </si>
  <si>
    <t>515APG10.TIC-023</t>
  </si>
  <si>
    <t xml:space="preserve">P_det_MP→BP </t>
  </si>
  <si>
    <t>Pression de detente de MP →BP</t>
  </si>
  <si>
    <t>515APG10.PIC-044</t>
  </si>
  <si>
    <t>Q_HRS_BP_mes</t>
  </si>
  <si>
    <t>Debit  entrant au collecteur BP depuis HRS</t>
  </si>
  <si>
    <t>515APG10.TI-170</t>
  </si>
  <si>
    <t>515APG10.PI-252</t>
  </si>
  <si>
    <t xml:space="preserve">Pourcentage d'ouverture des vannes </t>
  </si>
  <si>
    <t>Vanne de detente de pression MP</t>
  </si>
  <si>
    <t>%_P_MP_bypass</t>
  </si>
  <si>
    <t>515APG10.PV-004</t>
  </si>
  <si>
    <t>%_P_MP_soutiree</t>
  </si>
  <si>
    <t>Vanne  de pression MP soutiree</t>
  </si>
  <si>
    <t>515APG10.PV-548</t>
  </si>
  <si>
    <t>%_P_BP_bypass</t>
  </si>
  <si>
    <t>Vanne de detente de pression BP</t>
  </si>
  <si>
    <t>515APG10.PV-024</t>
  </si>
  <si>
    <t>Vanne de  pression BP soutiree</t>
  </si>
  <si>
    <t>515APG10.PV-551B</t>
  </si>
  <si>
    <t>%_P_BP_soutiree</t>
  </si>
  <si>
    <t>%_P_BP_bypass de MP vers BP</t>
  </si>
  <si>
    <t>Vanne bypass de MP vers BP</t>
  </si>
  <si>
    <t>515APG10.PV044</t>
  </si>
  <si>
    <t>Vanne d'arrosage  bypass MP</t>
  </si>
  <si>
    <t>Vanne d'arrosage  bypass BP</t>
  </si>
  <si>
    <t>Vanne  d'arrosage  soutiree MP</t>
  </si>
  <si>
    <t>515APG10.TV-003</t>
  </si>
  <si>
    <t>%_Dessurchauffe_MP_bypass</t>
  </si>
  <si>
    <t>%_Dessurchauffe_MP_soutiree</t>
  </si>
  <si>
    <t>%_Dessurchauffe_BP_bypass</t>
  </si>
  <si>
    <t>515APG10.TV-083</t>
  </si>
  <si>
    <t>515APG10.TV-023</t>
  </si>
  <si>
    <t xml:space="preserve">Système d'arrosage </t>
  </si>
  <si>
    <t>Debit d'arossage bypass MP</t>
  </si>
  <si>
    <t>Q_MP bypass_mes</t>
  </si>
  <si>
    <t>515APG10.FI-001</t>
  </si>
  <si>
    <t>m3/h</t>
  </si>
  <si>
    <t>Q_BP_bypass_mes</t>
  </si>
  <si>
    <t>Debit  d'arossage bypass BP</t>
  </si>
  <si>
    <t>Debit d'arossageMP soutiree</t>
  </si>
  <si>
    <t>Q_MP_soutiree</t>
  </si>
  <si>
    <t>515APG10.FI-081</t>
  </si>
  <si>
    <t>Les consommateurs</t>
  </si>
  <si>
    <t>Debit de DAP MP</t>
  </si>
  <si>
    <t>515APG10.FI-066</t>
  </si>
  <si>
    <t xml:space="preserve">P_DAP_MP </t>
  </si>
  <si>
    <t>Pression de DAP MP</t>
  </si>
  <si>
    <t>515APG10.PI-065</t>
  </si>
  <si>
    <t>515APG10.TIC-063</t>
  </si>
  <si>
    <t>T_DAP_MP</t>
  </si>
  <si>
    <t>Temperature de DAP MP</t>
  </si>
  <si>
    <t>Debit de vapeur de reception de JPH MP</t>
  </si>
  <si>
    <t>Q_JPH_reception_MP</t>
  </si>
  <si>
    <t>515APG10.FI-043A</t>
  </si>
  <si>
    <t>Q_JPH_transfert_MP</t>
  </si>
  <si>
    <t>Debit de vapeurde transfert MP</t>
  </si>
  <si>
    <t>515APG10.FI-043B</t>
  </si>
  <si>
    <t>P_JPH_MP</t>
  </si>
  <si>
    <t>Pression de vapeur JPH  MP</t>
  </si>
  <si>
    <t>515APG10.PI-041</t>
  </si>
  <si>
    <t>T_JPH_MP</t>
  </si>
  <si>
    <t>Temperature de JPH MP</t>
  </si>
  <si>
    <t>515APG10.TI-042</t>
  </si>
  <si>
    <t>Q_CAP_BP</t>
  </si>
  <si>
    <t>Debit de vapeur BP CAP</t>
  </si>
  <si>
    <t>P_CAP_BP</t>
  </si>
  <si>
    <t>Pression de vapeur BP CAP</t>
  </si>
  <si>
    <t>515APG10.PI-106</t>
  </si>
  <si>
    <t>T_CAP_BP</t>
  </si>
  <si>
    <t>Temperature de vapeur BP CAP</t>
  </si>
  <si>
    <t>515APG10.TIC-103</t>
  </si>
  <si>
    <t>Vannes de securite ATM</t>
  </si>
  <si>
    <t>%_Vanne_ATM1</t>
  </si>
  <si>
    <t>Vannede securete 1</t>
  </si>
  <si>
    <t>515APG10.PIC-128A</t>
  </si>
  <si>
    <t>%_Vanne_ATM2</t>
  </si>
  <si>
    <t>Vanne de securite 2</t>
  </si>
  <si>
    <t>515APG10.PIC-128B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</si>
</sst>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9"/>
      <color rgb="FF595959"/>
      <name val="Arial"/>
    </font>
    <font>
      <b/>
      <sz val="11"/>
      <color rgb="FFBF8F00"/>
      <name val="Arial"/>
    </font>
    <font>
      <b/>
      <i/>
      <sz val="11"/>
      <color rgb="FF375623"/>
      <name val="Arial"/>
    </font>
    <font>
      <i/>
      <sz val="9"/>
      <color rgb="FFC55A11"/>
      <name val="Arial"/>
    </font>
    <font>
      <b/>
      <sz val="11"/>
      <color rgb="FF000000"/>
      <name val="Arial"/>
    </font>
    <font>
      <i/>
      <sz val="9"/>
      <color rgb="FFBF8F00"/>
      <name val="Arial"/>
    </font>
    <font>
      <i/>
      <sz val="9"/>
      <color rgb="FF375623"/>
      <name val="Arial"/>
    </font>
    <font>
      <sz val="10"/>
      <color rgb="FF1B5E2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2"/>
      <color rgb="FFFFFFFF"/>
      <name val="Arial"/>
    </font>
    <font>
      <i/>
      <sz val="9"/>
      <color rgb="FFFFFFFF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Courier New"/>
      <family val="3"/>
    </font>
    <font>
      <sz val="9"/>
      <color theme="1"/>
      <name val="Arial"/>
      <family val="2"/>
    </font>
    <font>
      <sz val="9"/>
      <color theme="1"/>
      <name val="Courier New"/>
      <family val="3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i/>
      <sz val="9"/>
      <color rgb="FF1F4E79"/>
      <name val="Arial"/>
      <family val="2"/>
    </font>
    <font>
      <b/>
      <sz val="10"/>
      <color theme="1"/>
      <name val="Courier New"/>
      <family val="3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theme="0"/>
        <bgColor indexed="64"/>
      </patternFill>
    </fill>
    <fill>
      <patternFill patternType="solid">
        <fgColor rgb="FFEBF5FB"/>
      </patternFill>
    </fill>
    <fill>
      <patternFill patternType="solid">
        <fgColor rgb="FFE8F8F0"/>
      </patternFill>
    </fill>
    <fill>
      <patternFill patternType="solid">
        <fgColor rgb="FFDEEAF1"/>
      </patternFill>
    </fill>
    <fill>
      <patternFill patternType="solid">
        <fgColor rgb="FFEAE0F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left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4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Border="1"/>
    <xf numFmtId="0" fontId="19" fillId="4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left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left" vertical="center" wrapText="1"/>
    </xf>
    <xf numFmtId="0" fontId="24" fillId="14" borderId="3" xfId="0" applyFont="1" applyFill="1" applyBorder="1" applyAlignment="1">
      <alignment horizontal="left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left" vertical="center" wrapText="1"/>
    </xf>
    <xf numFmtId="0" fontId="24" fillId="14" borderId="3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left" vertical="center" wrapText="1"/>
    </xf>
    <xf numFmtId="0" fontId="24" fillId="13" borderId="3" xfId="0" applyFont="1" applyFill="1" applyBorder="1" applyAlignment="1">
      <alignment horizontal="left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left" vertical="center" wrapText="1"/>
    </xf>
    <xf numFmtId="0" fontId="24" fillId="14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left" vertical="center" wrapText="1"/>
    </xf>
    <xf numFmtId="0" fontId="24" fillId="14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22" fillId="13" borderId="2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center" vertical="center" wrapText="1"/>
    </xf>
    <xf numFmtId="0" fontId="23" fillId="13" borderId="6" xfId="0" applyFont="1" applyFill="1" applyBorder="1" applyAlignment="1">
      <alignment horizontal="left" vertical="center" wrapText="1"/>
    </xf>
    <xf numFmtId="0" fontId="24" fillId="13" borderId="6" xfId="0" applyFont="1" applyFill="1" applyBorder="1" applyAlignment="1">
      <alignment horizontal="left" vertical="center" wrapText="1"/>
    </xf>
    <xf numFmtId="0" fontId="23" fillId="12" borderId="6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left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2" fillId="13" borderId="7" xfId="0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left" vertical="center" wrapText="1"/>
    </xf>
    <xf numFmtId="0" fontId="24" fillId="13" borderId="7" xfId="0" applyFont="1" applyFill="1" applyBorder="1" applyAlignment="1">
      <alignment horizontal="left" vertical="center" wrapText="1"/>
    </xf>
    <xf numFmtId="0" fontId="23" fillId="12" borderId="7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left" vertical="center" wrapText="1"/>
    </xf>
    <xf numFmtId="0" fontId="24" fillId="13" borderId="7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29" fillId="13" borderId="2" xfId="0" applyFont="1" applyFill="1" applyBorder="1" applyAlignment="1">
      <alignment horizontal="left" vertical="center" wrapText="1"/>
    </xf>
    <xf numFmtId="0" fontId="22" fillId="13" borderId="8" xfId="0" applyFont="1" applyFill="1" applyBorder="1" applyAlignment="1">
      <alignment horizontal="center" vertical="center" wrapText="1"/>
    </xf>
    <xf numFmtId="0" fontId="23" fillId="13" borderId="8" xfId="0" applyFont="1" applyFill="1" applyBorder="1" applyAlignment="1">
      <alignment horizontal="left" vertical="center" wrapText="1"/>
    </xf>
    <xf numFmtId="0" fontId="24" fillId="13" borderId="8" xfId="0" applyFont="1" applyFill="1" applyBorder="1" applyAlignment="1">
      <alignment horizontal="left" vertical="center" wrapText="1"/>
    </xf>
    <xf numFmtId="0" fontId="23" fillId="12" borderId="8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left" vertical="center" wrapText="1"/>
    </xf>
    <xf numFmtId="0" fontId="24" fillId="13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7" fillId="3" borderId="1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6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showGridLines="0" topLeftCell="A28" workbookViewId="0">
      <selection activeCell="F43" sqref="F43"/>
    </sheetView>
  </sheetViews>
  <sheetFormatPr baseColWidth="10" defaultColWidth="8.7265625" defaultRowHeight="14.5" x14ac:dyDescent="0.35"/>
  <cols>
    <col min="1" max="1" width="28" customWidth="1"/>
    <col min="2" max="2" width="44" customWidth="1"/>
    <col min="3" max="3" width="16" customWidth="1"/>
    <col min="4" max="5" width="12" customWidth="1"/>
    <col min="6" max="6" width="30" customWidth="1"/>
  </cols>
  <sheetData>
    <row r="1" spans="1:6" ht="30" customHeight="1" x14ac:dyDescent="0.35">
      <c r="A1" s="129" t="s">
        <v>0</v>
      </c>
      <c r="B1" s="130"/>
      <c r="C1" s="130"/>
      <c r="D1" s="130"/>
      <c r="E1" s="130"/>
      <c r="F1" s="130"/>
    </row>
    <row r="2" spans="1:6" ht="22" customHeight="1" x14ac:dyDescent="0.35">
      <c r="A2" s="131" t="s">
        <v>1</v>
      </c>
      <c r="B2" s="130"/>
      <c r="C2" s="130"/>
      <c r="D2" s="130"/>
      <c r="E2" s="130"/>
      <c r="F2" s="130"/>
    </row>
    <row r="3" spans="1:6" ht="3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5">
      <c r="A4" s="40" t="s">
        <v>8</v>
      </c>
      <c r="B4" s="40" t="s">
        <v>9</v>
      </c>
      <c r="C4" s="41">
        <v>57</v>
      </c>
      <c r="D4" s="42" t="s">
        <v>10</v>
      </c>
      <c r="E4" s="42"/>
      <c r="F4" s="40" t="s">
        <v>11</v>
      </c>
    </row>
    <row r="5" spans="1:6" x14ac:dyDescent="0.35">
      <c r="A5" s="40" t="s">
        <v>12</v>
      </c>
      <c r="B5" s="40" t="s">
        <v>13</v>
      </c>
      <c r="C5" s="41">
        <v>470</v>
      </c>
      <c r="D5" s="42" t="s">
        <v>14</v>
      </c>
      <c r="E5" s="42"/>
      <c r="F5" s="40" t="s">
        <v>11</v>
      </c>
    </row>
    <row r="6" spans="1:6" x14ac:dyDescent="0.35">
      <c r="A6" s="40" t="s">
        <v>15</v>
      </c>
      <c r="B6" s="40" t="s">
        <v>16</v>
      </c>
      <c r="C6" s="41">
        <v>3382.1</v>
      </c>
      <c r="D6" s="42" t="s">
        <v>17</v>
      </c>
      <c r="E6" s="42"/>
      <c r="F6" s="40" t="s">
        <v>18</v>
      </c>
    </row>
    <row r="7" spans="1:6" x14ac:dyDescent="0.35">
      <c r="A7" s="40" t="s">
        <v>19</v>
      </c>
      <c r="B7" s="40" t="s">
        <v>20</v>
      </c>
      <c r="C7" s="41">
        <v>217</v>
      </c>
      <c r="D7" s="42" t="s">
        <v>21</v>
      </c>
      <c r="E7" s="42"/>
      <c r="F7" s="40" t="s">
        <v>22</v>
      </c>
    </row>
    <row r="8" spans="1:6" ht="22" customHeight="1" x14ac:dyDescent="0.35">
      <c r="A8" s="131" t="s">
        <v>23</v>
      </c>
      <c r="B8" s="130"/>
      <c r="C8" s="130"/>
      <c r="D8" s="130"/>
      <c r="E8" s="130"/>
      <c r="F8" s="130"/>
    </row>
    <row r="9" spans="1:6" ht="35" customHeight="1" x14ac:dyDescent="0.3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</row>
    <row r="10" spans="1:6" x14ac:dyDescent="0.35">
      <c r="A10" s="43" t="s">
        <v>283</v>
      </c>
      <c r="B10" s="44" t="s">
        <v>24</v>
      </c>
      <c r="C10" s="45">
        <v>3000</v>
      </c>
      <c r="D10" s="46" t="s">
        <v>25</v>
      </c>
      <c r="E10" s="46"/>
      <c r="F10" s="44" t="s">
        <v>18</v>
      </c>
    </row>
    <row r="11" spans="1:6" x14ac:dyDescent="0.35">
      <c r="A11" s="44" t="s">
        <v>26</v>
      </c>
      <c r="B11" s="44" t="s">
        <v>27</v>
      </c>
      <c r="C11" s="45">
        <v>0.98499999999999999</v>
      </c>
      <c r="D11" s="46" t="s">
        <v>6</v>
      </c>
      <c r="E11" s="46"/>
      <c r="F11" s="44" t="s">
        <v>18</v>
      </c>
    </row>
    <row r="12" spans="1:6" x14ac:dyDescent="0.35">
      <c r="A12" s="4" t="s">
        <v>28</v>
      </c>
      <c r="B12" s="4" t="s">
        <v>29</v>
      </c>
      <c r="C12" s="5">
        <v>10000</v>
      </c>
      <c r="D12" s="6" t="s">
        <v>30</v>
      </c>
      <c r="E12" s="6"/>
      <c r="F12" s="4" t="s">
        <v>31</v>
      </c>
    </row>
    <row r="13" spans="1:6" x14ac:dyDescent="0.35">
      <c r="A13" s="4" t="s">
        <v>32</v>
      </c>
      <c r="B13" s="4" t="s">
        <v>33</v>
      </c>
      <c r="C13" s="5">
        <v>63000</v>
      </c>
      <c r="D13" s="6" t="s">
        <v>30</v>
      </c>
      <c r="E13" s="6"/>
      <c r="F13" s="4" t="s">
        <v>31</v>
      </c>
    </row>
    <row r="14" spans="1:6" x14ac:dyDescent="0.35">
      <c r="A14" s="4" t="s">
        <v>34</v>
      </c>
      <c r="B14" s="4" t="s">
        <v>35</v>
      </c>
      <c r="C14" s="5">
        <v>200</v>
      </c>
      <c r="D14" s="6" t="s">
        <v>21</v>
      </c>
      <c r="E14" s="6"/>
      <c r="F14" s="4" t="s">
        <v>36</v>
      </c>
    </row>
    <row r="15" spans="1:6" x14ac:dyDescent="0.35">
      <c r="A15" s="4" t="s">
        <v>37</v>
      </c>
      <c r="B15" s="27" t="s">
        <v>284</v>
      </c>
      <c r="C15" s="5">
        <v>100</v>
      </c>
      <c r="D15" s="6" t="s">
        <v>21</v>
      </c>
      <c r="E15" s="6"/>
      <c r="F15" s="4" t="s">
        <v>38</v>
      </c>
    </row>
    <row r="16" spans="1:6" ht="22" customHeight="1" x14ac:dyDescent="0.35">
      <c r="A16" s="135" t="s">
        <v>285</v>
      </c>
      <c r="B16" s="130"/>
      <c r="C16" s="130"/>
      <c r="D16" s="130"/>
      <c r="E16" s="130"/>
      <c r="F16" s="130"/>
    </row>
    <row r="17" spans="1:6" ht="35" customHeight="1" x14ac:dyDescent="0.35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</row>
    <row r="18" spans="1:6" x14ac:dyDescent="0.35">
      <c r="A18" s="43" t="s">
        <v>286</v>
      </c>
      <c r="B18" s="44" t="s">
        <v>39</v>
      </c>
      <c r="C18" s="45">
        <v>12</v>
      </c>
      <c r="D18" s="46" t="s">
        <v>10</v>
      </c>
      <c r="E18" s="46"/>
      <c r="F18" s="44" t="s">
        <v>11</v>
      </c>
    </row>
    <row r="19" spans="1:6" x14ac:dyDescent="0.35">
      <c r="A19" s="43" t="s">
        <v>287</v>
      </c>
      <c r="B19" s="44" t="s">
        <v>40</v>
      </c>
      <c r="C19" s="45">
        <v>270</v>
      </c>
      <c r="D19" s="46" t="s">
        <v>14</v>
      </c>
      <c r="E19" s="46"/>
      <c r="F19" s="44" t="s">
        <v>11</v>
      </c>
    </row>
    <row r="20" spans="1:6" x14ac:dyDescent="0.35">
      <c r="A20" s="44" t="s">
        <v>41</v>
      </c>
      <c r="B20" s="44" t="s">
        <v>42</v>
      </c>
      <c r="C20" s="45">
        <v>2978</v>
      </c>
      <c r="D20" s="46" t="s">
        <v>17</v>
      </c>
      <c r="E20" s="46"/>
      <c r="F20" s="44" t="s">
        <v>43</v>
      </c>
    </row>
    <row r="21" spans="1:6" x14ac:dyDescent="0.35">
      <c r="A21" s="40" t="s">
        <v>44</v>
      </c>
      <c r="B21" s="40" t="s">
        <v>45</v>
      </c>
      <c r="C21" s="41">
        <v>13.68</v>
      </c>
      <c r="D21" s="42" t="s">
        <v>46</v>
      </c>
      <c r="E21" s="42"/>
      <c r="F21" s="40" t="s">
        <v>18</v>
      </c>
    </row>
    <row r="22" spans="1:6" x14ac:dyDescent="0.35">
      <c r="A22" s="40" t="s">
        <v>47</v>
      </c>
      <c r="B22" s="40" t="s">
        <v>48</v>
      </c>
      <c r="C22" s="41">
        <v>298.89999999999998</v>
      </c>
      <c r="D22" s="42" t="s">
        <v>14</v>
      </c>
      <c r="E22" s="42"/>
      <c r="F22" s="40" t="s">
        <v>18</v>
      </c>
    </row>
    <row r="23" spans="1:6" x14ac:dyDescent="0.35">
      <c r="A23" s="40" t="s">
        <v>49</v>
      </c>
      <c r="B23" s="40" t="s">
        <v>50</v>
      </c>
      <c r="C23" s="41">
        <v>3040</v>
      </c>
      <c r="D23" s="42" t="s">
        <v>17</v>
      </c>
      <c r="E23" s="42"/>
      <c r="F23" s="40" t="s">
        <v>18</v>
      </c>
    </row>
    <row r="24" spans="1:6" x14ac:dyDescent="0.35">
      <c r="A24" s="40" t="s">
        <v>51</v>
      </c>
      <c r="B24" s="40" t="s">
        <v>52</v>
      </c>
      <c r="C24" s="41">
        <v>12</v>
      </c>
      <c r="D24" s="42" t="s">
        <v>21</v>
      </c>
      <c r="E24" s="42"/>
      <c r="F24" s="40" t="s">
        <v>18</v>
      </c>
    </row>
    <row r="25" spans="1:6" ht="22" customHeight="1" x14ac:dyDescent="0.35">
      <c r="A25" s="135" t="s">
        <v>316</v>
      </c>
      <c r="B25" s="130"/>
      <c r="C25" s="130"/>
      <c r="D25" s="130"/>
      <c r="E25" s="130"/>
      <c r="F25" s="130"/>
    </row>
    <row r="26" spans="1:6" ht="35" customHeight="1" x14ac:dyDescent="0.35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 spans="1:6" x14ac:dyDescent="0.35">
      <c r="A27" s="43" t="s">
        <v>288</v>
      </c>
      <c r="B27" s="44" t="s">
        <v>53</v>
      </c>
      <c r="C27" s="45">
        <v>5</v>
      </c>
      <c r="D27" s="46" t="s">
        <v>10</v>
      </c>
      <c r="E27" s="46"/>
      <c r="F27" s="44" t="s">
        <v>11</v>
      </c>
    </row>
    <row r="28" spans="1:6" x14ac:dyDescent="0.35">
      <c r="A28" s="43" t="s">
        <v>289</v>
      </c>
      <c r="B28" s="44" t="s">
        <v>54</v>
      </c>
      <c r="C28" s="45">
        <v>190</v>
      </c>
      <c r="D28" s="46" t="s">
        <v>14</v>
      </c>
      <c r="E28" s="46"/>
      <c r="F28" s="44" t="s">
        <v>11</v>
      </c>
    </row>
    <row r="29" spans="1:6" x14ac:dyDescent="0.35">
      <c r="A29" s="47" t="s">
        <v>55</v>
      </c>
      <c r="B29" s="47" t="s">
        <v>56</v>
      </c>
      <c r="C29" s="48">
        <v>2855</v>
      </c>
      <c r="D29" s="49" t="s">
        <v>17</v>
      </c>
      <c r="E29" s="49"/>
      <c r="F29" s="47" t="s">
        <v>43</v>
      </c>
    </row>
    <row r="30" spans="1:6" x14ac:dyDescent="0.35">
      <c r="A30" s="50" t="s">
        <v>57</v>
      </c>
      <c r="B30" s="50" t="s">
        <v>58</v>
      </c>
      <c r="C30" s="51">
        <v>6.75</v>
      </c>
      <c r="D30" s="52" t="s">
        <v>46</v>
      </c>
      <c r="E30" s="52"/>
      <c r="F30" s="50" t="s">
        <v>18</v>
      </c>
    </row>
    <row r="31" spans="1:6" x14ac:dyDescent="0.35">
      <c r="A31" s="40" t="s">
        <v>59</v>
      </c>
      <c r="B31" s="40" t="s">
        <v>60</v>
      </c>
      <c r="C31" s="41">
        <v>218.4</v>
      </c>
      <c r="D31" s="42" t="s">
        <v>14</v>
      </c>
      <c r="E31" s="42"/>
      <c r="F31" s="40" t="s">
        <v>18</v>
      </c>
    </row>
    <row r="32" spans="1:6" x14ac:dyDescent="0.35">
      <c r="A32" s="40" t="s">
        <v>61</v>
      </c>
      <c r="B32" s="40" t="s">
        <v>62</v>
      </c>
      <c r="C32" s="41">
        <v>2886.6</v>
      </c>
      <c r="D32" s="42" t="s">
        <v>17</v>
      </c>
      <c r="E32" s="42"/>
      <c r="F32" s="40" t="s">
        <v>18</v>
      </c>
    </row>
    <row r="33" spans="1:6" x14ac:dyDescent="0.35">
      <c r="A33" s="53" t="s">
        <v>63</v>
      </c>
      <c r="B33" s="53" t="s">
        <v>64</v>
      </c>
      <c r="C33" s="54">
        <v>57.4</v>
      </c>
      <c r="D33" s="55" t="s">
        <v>21</v>
      </c>
      <c r="E33" s="55"/>
      <c r="F33" s="53" t="s">
        <v>18</v>
      </c>
    </row>
    <row r="34" spans="1:6" x14ac:dyDescent="0.35">
      <c r="A34" s="136" t="s">
        <v>317</v>
      </c>
      <c r="B34" s="130"/>
      <c r="C34" s="130"/>
      <c r="D34" s="130"/>
      <c r="E34" s="130"/>
      <c r="F34" s="130"/>
    </row>
    <row r="35" spans="1:6" x14ac:dyDescent="0.35">
      <c r="A35" s="1" t="s">
        <v>2</v>
      </c>
      <c r="B35" s="1" t="s">
        <v>3</v>
      </c>
      <c r="C35" s="1" t="s">
        <v>4</v>
      </c>
      <c r="D35" s="1" t="s">
        <v>5</v>
      </c>
      <c r="E35" s="1" t="s">
        <v>6</v>
      </c>
      <c r="F35" s="1" t="s">
        <v>7</v>
      </c>
    </row>
    <row r="36" spans="1:6" x14ac:dyDescent="0.35">
      <c r="A36" s="44" t="s">
        <v>65</v>
      </c>
      <c r="B36" s="44" t="s">
        <v>318</v>
      </c>
      <c r="C36" s="45">
        <v>8.1000000000000003E-2</v>
      </c>
      <c r="D36" s="46" t="s">
        <v>46</v>
      </c>
      <c r="E36" s="46"/>
      <c r="F36" s="44" t="s">
        <v>18</v>
      </c>
    </row>
    <row r="37" spans="1:6" x14ac:dyDescent="0.35">
      <c r="A37" s="44" t="s">
        <v>67</v>
      </c>
      <c r="B37" s="44" t="s">
        <v>319</v>
      </c>
      <c r="C37" s="45">
        <v>41.8</v>
      </c>
      <c r="D37" s="46" t="s">
        <v>14</v>
      </c>
      <c r="E37" s="46"/>
      <c r="F37" s="44" t="s">
        <v>18</v>
      </c>
    </row>
    <row r="38" spans="1:6" x14ac:dyDescent="0.35">
      <c r="A38" s="44" t="s">
        <v>69</v>
      </c>
      <c r="B38" s="44" t="s">
        <v>70</v>
      </c>
      <c r="C38" s="45">
        <v>2285</v>
      </c>
      <c r="D38" s="46" t="s">
        <v>17</v>
      </c>
      <c r="E38" s="46"/>
      <c r="F38" s="44" t="s">
        <v>18</v>
      </c>
    </row>
    <row r="39" spans="1:6" x14ac:dyDescent="0.35">
      <c r="A39" s="44" t="s">
        <v>320</v>
      </c>
      <c r="B39" s="44" t="s">
        <v>321</v>
      </c>
      <c r="C39" s="45">
        <v>148</v>
      </c>
      <c r="D39" s="46" t="s">
        <v>17</v>
      </c>
      <c r="E39" s="46"/>
      <c r="F39" s="44" t="s">
        <v>71</v>
      </c>
    </row>
    <row r="40" spans="1:6" x14ac:dyDescent="0.35">
      <c r="A40" s="29"/>
      <c r="B40" s="29"/>
      <c r="C40" s="28"/>
      <c r="D40" s="30"/>
      <c r="E40" s="30"/>
      <c r="F40" s="29"/>
    </row>
    <row r="41" spans="1:6" x14ac:dyDescent="0.35">
      <c r="A41" s="29"/>
      <c r="B41" s="29"/>
      <c r="C41" s="28"/>
      <c r="D41" s="30"/>
      <c r="E41" s="30"/>
      <c r="F41" s="29"/>
    </row>
    <row r="42" spans="1:6" ht="22" customHeight="1" x14ac:dyDescent="0.35"/>
    <row r="43" spans="1:6" ht="35" customHeight="1" x14ac:dyDescent="0.35"/>
    <row r="48" spans="1:6" ht="22" customHeight="1" x14ac:dyDescent="0.35">
      <c r="A48" s="134"/>
      <c r="B48" s="133"/>
      <c r="C48" s="133"/>
      <c r="D48" s="133"/>
      <c r="E48" s="133"/>
      <c r="F48" s="133"/>
    </row>
    <row r="49" spans="1:6" ht="35" customHeight="1" x14ac:dyDescent="0.35">
      <c r="A49" s="28"/>
      <c r="B49" s="28"/>
      <c r="C49" s="28"/>
      <c r="D49" s="28"/>
      <c r="E49" s="28"/>
      <c r="F49" s="28"/>
    </row>
    <row r="50" spans="1:6" x14ac:dyDescent="0.35">
      <c r="A50" s="29"/>
      <c r="B50" s="29"/>
      <c r="C50" s="28"/>
      <c r="D50" s="30"/>
      <c r="E50" s="30"/>
      <c r="F50" s="29"/>
    </row>
    <row r="51" spans="1:6" x14ac:dyDescent="0.35">
      <c r="A51" s="29"/>
      <c r="B51" s="29"/>
      <c r="C51" s="28"/>
      <c r="D51" s="30"/>
      <c r="E51" s="30"/>
      <c r="F51" s="29"/>
    </row>
    <row r="52" spans="1:6" x14ac:dyDescent="0.35">
      <c r="A52" s="29"/>
      <c r="B52" s="29"/>
      <c r="C52" s="30"/>
      <c r="D52" s="30"/>
      <c r="E52" s="30"/>
      <c r="F52" s="29"/>
    </row>
    <row r="53" spans="1:6" x14ac:dyDescent="0.35">
      <c r="A53" s="29"/>
      <c r="B53" s="29"/>
      <c r="C53" s="30"/>
      <c r="D53" s="30"/>
      <c r="E53" s="30"/>
      <c r="F53" s="29"/>
    </row>
    <row r="54" spans="1:6" ht="22" customHeight="1" x14ac:dyDescent="0.35">
      <c r="A54" s="134"/>
      <c r="B54" s="133"/>
      <c r="C54" s="133"/>
      <c r="D54" s="133"/>
      <c r="E54" s="133"/>
      <c r="F54" s="133"/>
    </row>
    <row r="55" spans="1:6" ht="35" customHeight="1" x14ac:dyDescent="0.35">
      <c r="A55" s="28"/>
      <c r="B55" s="28"/>
      <c r="C55" s="28"/>
      <c r="D55" s="28"/>
      <c r="E55" s="28"/>
      <c r="F55" s="28"/>
    </row>
    <row r="56" spans="1:6" x14ac:dyDescent="0.35">
      <c r="A56" s="29"/>
      <c r="B56" s="29"/>
      <c r="C56" s="28"/>
      <c r="D56" s="30"/>
      <c r="E56" s="30"/>
      <c r="F56" s="29"/>
    </row>
    <row r="57" spans="1:6" x14ac:dyDescent="0.35">
      <c r="A57" s="29"/>
      <c r="B57" s="38"/>
      <c r="C57" s="28"/>
      <c r="D57" s="30"/>
      <c r="E57" s="30"/>
      <c r="F57" s="29"/>
    </row>
    <row r="58" spans="1:6" x14ac:dyDescent="0.35">
      <c r="A58" s="29"/>
      <c r="B58" s="38"/>
      <c r="C58" s="28"/>
      <c r="D58" s="30"/>
      <c r="E58" s="30"/>
      <c r="F58" s="29"/>
    </row>
    <row r="59" spans="1:6" x14ac:dyDescent="0.35">
      <c r="A59" s="38"/>
      <c r="B59" s="38"/>
      <c r="C59" s="28"/>
      <c r="D59" s="39"/>
      <c r="E59" s="30"/>
      <c r="F59" s="29"/>
    </row>
    <row r="60" spans="1:6" x14ac:dyDescent="0.35">
      <c r="A60" s="31"/>
      <c r="B60" s="31"/>
      <c r="C60" s="31"/>
      <c r="D60" s="31"/>
      <c r="E60" s="31"/>
      <c r="F60" s="31"/>
    </row>
    <row r="61" spans="1:6" ht="28" customHeight="1" x14ac:dyDescent="0.35">
      <c r="A61" s="132"/>
      <c r="B61" s="133"/>
      <c r="C61" s="133"/>
      <c r="D61" s="133"/>
      <c r="E61" s="133"/>
      <c r="F61" s="133"/>
    </row>
  </sheetData>
  <mergeCells count="9">
    <mergeCell ref="A1:F1"/>
    <mergeCell ref="A8:F8"/>
    <mergeCell ref="A61:F61"/>
    <mergeCell ref="A48:F48"/>
    <mergeCell ref="A25:F25"/>
    <mergeCell ref="A2:F2"/>
    <mergeCell ref="A16:F16"/>
    <mergeCell ref="A54:F54"/>
    <mergeCell ref="A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workbookViewId="0">
      <selection activeCell="G12" sqref="G12"/>
    </sheetView>
  </sheetViews>
  <sheetFormatPr baseColWidth="10" defaultColWidth="8.7265625" defaultRowHeight="14.5" x14ac:dyDescent="0.35"/>
  <cols>
    <col min="1" max="1" width="28" customWidth="1"/>
    <col min="2" max="2" width="44" customWidth="1"/>
    <col min="3" max="3" width="16" customWidth="1"/>
    <col min="4" max="5" width="12" customWidth="1"/>
    <col min="6" max="6" width="30" customWidth="1"/>
  </cols>
  <sheetData>
    <row r="1" spans="1:6" ht="30" customHeight="1" x14ac:dyDescent="0.35">
      <c r="A1" s="129" t="s">
        <v>81</v>
      </c>
      <c r="B1" s="130"/>
      <c r="C1" s="130"/>
      <c r="D1" s="130"/>
      <c r="E1" s="130"/>
      <c r="F1" s="130"/>
    </row>
    <row r="2" spans="1:6" ht="22" customHeight="1" x14ac:dyDescent="0.35">
      <c r="A2" s="131" t="s">
        <v>82</v>
      </c>
      <c r="B2" s="130"/>
      <c r="C2" s="130"/>
      <c r="D2" s="130"/>
      <c r="E2" s="130"/>
      <c r="F2" s="130"/>
    </row>
    <row r="3" spans="1:6" ht="35" customHeight="1" x14ac:dyDescent="0.35">
      <c r="A3" s="1" t="s">
        <v>2</v>
      </c>
      <c r="B3" s="1" t="s">
        <v>3</v>
      </c>
      <c r="C3" s="1" t="s">
        <v>83</v>
      </c>
      <c r="D3" s="1" t="s">
        <v>5</v>
      </c>
      <c r="E3" s="1" t="s">
        <v>6</v>
      </c>
      <c r="F3" s="1" t="s">
        <v>84</v>
      </c>
    </row>
    <row r="4" spans="1:6" x14ac:dyDescent="0.35">
      <c r="A4" s="9" t="s">
        <v>85</v>
      </c>
      <c r="B4" s="9" t="s">
        <v>86</v>
      </c>
      <c r="C4" s="10" t="s">
        <v>87</v>
      </c>
      <c r="D4" s="11" t="s">
        <v>88</v>
      </c>
      <c r="E4" s="11"/>
      <c r="F4" s="11" t="s">
        <v>89</v>
      </c>
    </row>
    <row r="5" spans="1:6" ht="25" x14ac:dyDescent="0.35">
      <c r="A5" s="7" t="s">
        <v>90</v>
      </c>
      <c r="B5" s="7" t="s">
        <v>91</v>
      </c>
      <c r="C5" s="12" t="s">
        <v>92</v>
      </c>
      <c r="D5" s="8" t="s">
        <v>21</v>
      </c>
      <c r="E5" s="8"/>
      <c r="F5" s="8" t="s">
        <v>93</v>
      </c>
    </row>
    <row r="6" spans="1:6" ht="22" customHeight="1" x14ac:dyDescent="0.35">
      <c r="A6" s="131" t="s">
        <v>94</v>
      </c>
      <c r="B6" s="130"/>
      <c r="C6" s="130"/>
      <c r="D6" s="130"/>
      <c r="E6" s="130"/>
      <c r="F6" s="130"/>
    </row>
    <row r="7" spans="1:6" ht="35" customHeight="1" x14ac:dyDescent="0.35">
      <c r="A7" s="1" t="s">
        <v>95</v>
      </c>
      <c r="B7" s="1" t="s">
        <v>3</v>
      </c>
      <c r="C7" s="1" t="s">
        <v>85</v>
      </c>
      <c r="D7" s="1" t="s">
        <v>90</v>
      </c>
      <c r="E7" s="1" t="s">
        <v>6</v>
      </c>
      <c r="F7" s="1" t="s">
        <v>96</v>
      </c>
    </row>
    <row r="8" spans="1:6" ht="25" x14ac:dyDescent="0.35">
      <c r="A8" s="7" t="s">
        <v>97</v>
      </c>
      <c r="B8" s="7" t="s">
        <v>98</v>
      </c>
      <c r="C8" s="8" t="s">
        <v>99</v>
      </c>
      <c r="D8" s="8" t="s">
        <v>100</v>
      </c>
      <c r="E8" s="8"/>
      <c r="F8" s="7" t="s">
        <v>101</v>
      </c>
    </row>
    <row r="9" spans="1:6" x14ac:dyDescent="0.35">
      <c r="A9" s="9" t="s">
        <v>102</v>
      </c>
      <c r="B9" s="9" t="s">
        <v>103</v>
      </c>
      <c r="C9" s="11" t="s">
        <v>104</v>
      </c>
      <c r="D9" s="11" t="s">
        <v>105</v>
      </c>
      <c r="E9" s="11"/>
      <c r="F9" s="9" t="s">
        <v>106</v>
      </c>
    </row>
    <row r="10" spans="1:6" x14ac:dyDescent="0.35">
      <c r="A10" s="21" t="s">
        <v>107</v>
      </c>
      <c r="B10" s="21" t="s">
        <v>108</v>
      </c>
      <c r="C10" s="22" t="s">
        <v>109</v>
      </c>
      <c r="D10" s="22" t="s">
        <v>110</v>
      </c>
      <c r="E10" s="22"/>
      <c r="F10" s="21" t="s">
        <v>111</v>
      </c>
    </row>
    <row r="11" spans="1:6" ht="22" customHeight="1" x14ac:dyDescent="0.35">
      <c r="A11" s="134"/>
      <c r="B11" s="133"/>
      <c r="C11" s="133"/>
      <c r="D11" s="133"/>
      <c r="E11" s="133"/>
      <c r="F11" s="133"/>
    </row>
    <row r="12" spans="1:6" ht="35" customHeight="1" x14ac:dyDescent="0.35">
      <c r="A12" s="28"/>
      <c r="B12" s="28"/>
      <c r="C12" s="28"/>
      <c r="D12" s="28"/>
      <c r="E12" s="28"/>
      <c r="F12" s="28"/>
    </row>
    <row r="13" spans="1:6" x14ac:dyDescent="0.35">
      <c r="A13" s="29"/>
      <c r="B13" s="29"/>
      <c r="C13" s="30"/>
      <c r="D13" s="30"/>
      <c r="E13" s="30"/>
      <c r="F13" s="29"/>
    </row>
    <row r="14" spans="1:6" x14ac:dyDescent="0.35">
      <c r="A14" s="29"/>
      <c r="B14" s="29"/>
      <c r="C14" s="28"/>
      <c r="D14" s="30"/>
      <c r="E14" s="30"/>
      <c r="F14" s="29"/>
    </row>
    <row r="15" spans="1:6" x14ac:dyDescent="0.35">
      <c r="A15" s="29"/>
      <c r="B15" s="29"/>
      <c r="C15" s="28"/>
      <c r="D15" s="30"/>
      <c r="E15" s="30"/>
      <c r="F15" s="29"/>
    </row>
    <row r="16" spans="1:6" x14ac:dyDescent="0.35">
      <c r="A16" s="29"/>
      <c r="B16" s="29"/>
      <c r="C16" s="28"/>
      <c r="D16" s="30"/>
      <c r="E16" s="30"/>
      <c r="F16" s="29"/>
    </row>
    <row r="17" spans="1:6" x14ac:dyDescent="0.35">
      <c r="A17" s="29"/>
      <c r="B17" s="29"/>
      <c r="C17" s="28"/>
      <c r="D17" s="30"/>
      <c r="E17" s="30"/>
      <c r="F17" s="29"/>
    </row>
    <row r="18" spans="1:6" x14ac:dyDescent="0.35">
      <c r="A18" s="29"/>
      <c r="B18" s="29"/>
      <c r="C18" s="28"/>
      <c r="D18" s="30"/>
      <c r="E18" s="30"/>
      <c r="F18" s="29"/>
    </row>
    <row r="19" spans="1:6" x14ac:dyDescent="0.35">
      <c r="A19" s="29"/>
      <c r="B19" s="29"/>
      <c r="C19" s="28"/>
      <c r="D19" s="30"/>
      <c r="E19" s="30"/>
      <c r="F19" s="29"/>
    </row>
    <row r="20" spans="1:6" x14ac:dyDescent="0.35">
      <c r="A20" s="29"/>
      <c r="B20" s="29"/>
      <c r="C20" s="28"/>
      <c r="D20" s="30"/>
      <c r="E20" s="30"/>
      <c r="F20" s="29"/>
    </row>
    <row r="21" spans="1:6" x14ac:dyDescent="0.35">
      <c r="A21" s="29"/>
      <c r="B21" s="29"/>
      <c r="C21" s="28"/>
      <c r="D21" s="30"/>
      <c r="E21" s="30"/>
      <c r="F21" s="29"/>
    </row>
    <row r="22" spans="1:6" x14ac:dyDescent="0.35">
      <c r="A22" s="31"/>
      <c r="B22" s="31"/>
      <c r="C22" s="31"/>
      <c r="D22" s="31"/>
      <c r="E22" s="31"/>
      <c r="F22" s="31"/>
    </row>
    <row r="23" spans="1:6" ht="28" customHeight="1" x14ac:dyDescent="0.35">
      <c r="A23" s="137"/>
      <c r="B23" s="133"/>
      <c r="C23" s="133"/>
      <c r="D23" s="133"/>
      <c r="E23" s="133"/>
      <c r="F23" s="133"/>
    </row>
  </sheetData>
  <mergeCells count="5">
    <mergeCell ref="A2:F2"/>
    <mergeCell ref="A11:F11"/>
    <mergeCell ref="A1:F1"/>
    <mergeCell ref="A23:F23"/>
    <mergeCell ref="A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selection activeCell="B17" sqref="B17"/>
    </sheetView>
  </sheetViews>
  <sheetFormatPr baseColWidth="10" defaultColWidth="8.7265625" defaultRowHeight="14.5" x14ac:dyDescent="0.35"/>
  <cols>
    <col min="1" max="1" width="28" customWidth="1"/>
    <col min="2" max="2" width="44" customWidth="1"/>
    <col min="3" max="3" width="16" customWidth="1"/>
    <col min="4" max="5" width="12" customWidth="1"/>
    <col min="6" max="6" width="30" customWidth="1"/>
  </cols>
  <sheetData>
    <row r="1" spans="1:6" ht="30" customHeight="1" x14ac:dyDescent="0.35">
      <c r="A1" s="129" t="s">
        <v>137</v>
      </c>
      <c r="B1" s="130"/>
      <c r="C1" s="130"/>
      <c r="D1" s="130"/>
      <c r="E1" s="130"/>
      <c r="F1" s="130"/>
    </row>
    <row r="2" spans="1:6" ht="22" customHeight="1" x14ac:dyDescent="0.35">
      <c r="A2" s="131" t="s">
        <v>138</v>
      </c>
      <c r="B2" s="130"/>
      <c r="C2" s="130"/>
      <c r="D2" s="130"/>
      <c r="E2" s="130"/>
      <c r="F2" s="130"/>
    </row>
    <row r="3" spans="1:6" ht="35" customHeight="1" x14ac:dyDescent="0.35">
      <c r="A3" s="1" t="s">
        <v>139</v>
      </c>
      <c r="B3" s="1" t="s">
        <v>3</v>
      </c>
      <c r="C3" s="1" t="s">
        <v>140</v>
      </c>
      <c r="D3" s="1" t="s">
        <v>5</v>
      </c>
      <c r="E3" s="1" t="s">
        <v>6</v>
      </c>
      <c r="F3" s="1" t="s">
        <v>141</v>
      </c>
    </row>
    <row r="4" spans="1:6" x14ac:dyDescent="0.35">
      <c r="A4" s="40" t="s">
        <v>142</v>
      </c>
      <c r="B4" s="40" t="s">
        <v>143</v>
      </c>
      <c r="C4" s="41"/>
      <c r="D4" s="42" t="s">
        <v>21</v>
      </c>
      <c r="E4" s="42"/>
      <c r="F4" s="40" t="s">
        <v>144</v>
      </c>
    </row>
    <row r="5" spans="1:6" x14ac:dyDescent="0.35">
      <c r="A5" s="40" t="s">
        <v>145</v>
      </c>
      <c r="B5" s="40" t="s">
        <v>146</v>
      </c>
      <c r="C5" s="41"/>
      <c r="D5" s="42" t="s">
        <v>21</v>
      </c>
      <c r="E5" s="42"/>
      <c r="F5" s="40" t="s">
        <v>147</v>
      </c>
    </row>
    <row r="6" spans="1:6" x14ac:dyDescent="0.35">
      <c r="A6" s="40" t="s">
        <v>148</v>
      </c>
      <c r="B6" s="40" t="s">
        <v>149</v>
      </c>
      <c r="C6" s="41"/>
      <c r="D6" s="42" t="s">
        <v>21</v>
      </c>
      <c r="E6" s="42"/>
      <c r="F6" s="40" t="s">
        <v>150</v>
      </c>
    </row>
    <row r="7" spans="1:6" x14ac:dyDescent="0.35">
      <c r="A7" s="40" t="s">
        <v>151</v>
      </c>
      <c r="B7" s="40" t="s">
        <v>152</v>
      </c>
      <c r="C7" s="41"/>
      <c r="D7" s="42" t="s">
        <v>21</v>
      </c>
      <c r="E7" s="42"/>
      <c r="F7" s="40" t="s">
        <v>153</v>
      </c>
    </row>
    <row r="8" spans="1:6" x14ac:dyDescent="0.35">
      <c r="A8" s="40" t="s">
        <v>154</v>
      </c>
      <c r="B8" s="40" t="s">
        <v>155</v>
      </c>
      <c r="C8" s="41"/>
      <c r="D8" s="42" t="s">
        <v>21</v>
      </c>
      <c r="E8" s="42"/>
      <c r="F8" s="40" t="s">
        <v>156</v>
      </c>
    </row>
    <row r="9" spans="1:6" x14ac:dyDescent="0.35">
      <c r="A9" s="4" t="s">
        <v>157</v>
      </c>
      <c r="B9" s="27" t="s">
        <v>282</v>
      </c>
      <c r="C9" s="5"/>
      <c r="D9" s="6" t="s">
        <v>21</v>
      </c>
      <c r="E9" s="6"/>
      <c r="F9" s="4" t="s">
        <v>158</v>
      </c>
    </row>
    <row r="11" spans="1:6" ht="28" customHeight="1" x14ac:dyDescent="0.35">
      <c r="A11" s="138"/>
      <c r="B11" s="130"/>
      <c r="C11" s="130"/>
      <c r="D11" s="130"/>
      <c r="E11" s="130"/>
      <c r="F11" s="130"/>
    </row>
    <row r="12" spans="1:6" x14ac:dyDescent="0.35">
      <c r="A12" s="131" t="s">
        <v>72</v>
      </c>
      <c r="B12" s="130"/>
      <c r="C12" s="130"/>
      <c r="D12" s="130"/>
      <c r="E12" s="130"/>
      <c r="F12" s="130"/>
    </row>
    <row r="13" spans="1:6" x14ac:dyDescent="0.35">
      <c r="A13" s="32" t="s">
        <v>2</v>
      </c>
      <c r="B13" s="32" t="s">
        <v>3</v>
      </c>
      <c r="C13" s="32" t="s">
        <v>4</v>
      </c>
      <c r="D13" s="32" t="s">
        <v>5</v>
      </c>
      <c r="E13" s="32" t="s">
        <v>6</v>
      </c>
      <c r="F13" s="32" t="s">
        <v>7</v>
      </c>
    </row>
    <row r="14" spans="1:6" x14ac:dyDescent="0.35">
      <c r="A14" s="56" t="s">
        <v>73</v>
      </c>
      <c r="B14" s="56" t="s">
        <v>74</v>
      </c>
      <c r="C14" s="57"/>
      <c r="D14" s="57" t="s">
        <v>21</v>
      </c>
      <c r="E14" s="57"/>
      <c r="F14" s="56" t="s">
        <v>75</v>
      </c>
    </row>
    <row r="15" spans="1:6" x14ac:dyDescent="0.35">
      <c r="A15" s="58" t="s">
        <v>76</v>
      </c>
      <c r="B15" s="58" t="s">
        <v>77</v>
      </c>
      <c r="C15" s="59"/>
      <c r="D15" s="59" t="s">
        <v>21</v>
      </c>
      <c r="E15" s="59"/>
      <c r="F15" s="58" t="s">
        <v>75</v>
      </c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"/>
  <sheetViews>
    <sheetView showGridLines="0" topLeftCell="A32" workbookViewId="0">
      <selection activeCell="G21" sqref="G21"/>
    </sheetView>
  </sheetViews>
  <sheetFormatPr baseColWidth="10" defaultColWidth="8.7265625" defaultRowHeight="14.5" x14ac:dyDescent="0.35"/>
  <cols>
    <col min="1" max="1" width="38" customWidth="1"/>
    <col min="2" max="2" width="40" customWidth="1"/>
    <col min="3" max="3" width="16" customWidth="1"/>
    <col min="4" max="5" width="10" customWidth="1"/>
    <col min="6" max="6" width="20" customWidth="1"/>
  </cols>
  <sheetData>
    <row r="1" spans="1:6" ht="30" customHeight="1" x14ac:dyDescent="0.35">
      <c r="A1" s="129" t="s">
        <v>159</v>
      </c>
      <c r="B1" s="130"/>
      <c r="C1" s="130"/>
      <c r="D1" s="130"/>
      <c r="E1" s="130"/>
      <c r="F1" s="130"/>
    </row>
    <row r="2" spans="1:6" ht="22" customHeight="1" x14ac:dyDescent="0.35">
      <c r="A2" s="131" t="s">
        <v>160</v>
      </c>
      <c r="B2" s="130"/>
      <c r="C2" s="130"/>
      <c r="D2" s="130"/>
      <c r="E2" s="130"/>
      <c r="F2" s="130"/>
    </row>
    <row r="3" spans="1:6" ht="35" customHeight="1" x14ac:dyDescent="0.35">
      <c r="A3" s="1" t="s">
        <v>161</v>
      </c>
      <c r="B3" s="1" t="s">
        <v>162</v>
      </c>
      <c r="C3" s="1" t="s">
        <v>163</v>
      </c>
      <c r="D3" s="1" t="s">
        <v>5</v>
      </c>
      <c r="E3" s="1" t="s">
        <v>6</v>
      </c>
      <c r="F3" s="1" t="s">
        <v>164</v>
      </c>
    </row>
    <row r="4" spans="1:6" x14ac:dyDescent="0.35">
      <c r="A4" s="40" t="s">
        <v>165</v>
      </c>
      <c r="B4" s="40" t="s">
        <v>166</v>
      </c>
      <c r="C4" s="42" t="s">
        <v>100</v>
      </c>
      <c r="D4" s="42" t="s">
        <v>21</v>
      </c>
      <c r="E4" s="42"/>
      <c r="F4" s="42" t="s">
        <v>167</v>
      </c>
    </row>
    <row r="5" spans="1:6" ht="22" customHeight="1" x14ac:dyDescent="0.35">
      <c r="A5" s="131" t="s">
        <v>168</v>
      </c>
      <c r="B5" s="130"/>
      <c r="C5" s="130"/>
      <c r="D5" s="130"/>
      <c r="E5" s="130"/>
      <c r="F5" s="130"/>
    </row>
    <row r="6" spans="1:6" ht="35" customHeight="1" x14ac:dyDescent="0.35">
      <c r="A6" s="1" t="s">
        <v>161</v>
      </c>
      <c r="B6" s="1" t="s">
        <v>162</v>
      </c>
      <c r="C6" s="1" t="s">
        <v>163</v>
      </c>
      <c r="D6" s="1" t="s">
        <v>5</v>
      </c>
      <c r="E6" s="1" t="s">
        <v>6</v>
      </c>
      <c r="F6" s="1" t="s">
        <v>164</v>
      </c>
    </row>
    <row r="7" spans="1:6" ht="25" x14ac:dyDescent="0.35">
      <c r="A7" s="58" t="s">
        <v>169</v>
      </c>
      <c r="B7" s="58" t="s">
        <v>271</v>
      </c>
      <c r="C7" s="59"/>
      <c r="D7" s="59" t="s">
        <v>21</v>
      </c>
      <c r="E7" s="59"/>
      <c r="F7" s="59" t="s">
        <v>167</v>
      </c>
    </row>
    <row r="8" spans="1:6" ht="22" customHeight="1" x14ac:dyDescent="0.35">
      <c r="A8" s="131" t="s">
        <v>170</v>
      </c>
      <c r="B8" s="130"/>
      <c r="C8" s="130"/>
      <c r="D8" s="130"/>
      <c r="E8" s="130"/>
      <c r="F8" s="130"/>
    </row>
    <row r="9" spans="1:6" ht="35" customHeight="1" x14ac:dyDescent="0.35">
      <c r="A9" s="1" t="s">
        <v>161</v>
      </c>
      <c r="B9" s="1" t="s">
        <v>162</v>
      </c>
      <c r="C9" s="1" t="s">
        <v>163</v>
      </c>
      <c r="D9" s="1" t="s">
        <v>5</v>
      </c>
      <c r="E9" s="1" t="s">
        <v>6</v>
      </c>
      <c r="F9" s="1" t="s">
        <v>164</v>
      </c>
    </row>
    <row r="10" spans="1:6" ht="25" x14ac:dyDescent="0.35">
      <c r="A10" s="40" t="s">
        <v>273</v>
      </c>
      <c r="B10" s="40" t="s">
        <v>272</v>
      </c>
      <c r="C10" s="42"/>
      <c r="D10" s="42" t="s">
        <v>21</v>
      </c>
      <c r="E10" s="42"/>
      <c r="F10" s="42" t="s">
        <v>167</v>
      </c>
    </row>
    <row r="11" spans="1:6" ht="22" customHeight="1" x14ac:dyDescent="0.35">
      <c r="A11" s="131" t="s">
        <v>171</v>
      </c>
      <c r="B11" s="130"/>
      <c r="C11" s="130"/>
      <c r="D11" s="130"/>
      <c r="E11" s="130"/>
      <c r="F11" s="130"/>
    </row>
    <row r="12" spans="1:6" ht="35" customHeight="1" x14ac:dyDescent="0.35">
      <c r="A12" s="1" t="s">
        <v>161</v>
      </c>
      <c r="B12" s="1" t="s">
        <v>162</v>
      </c>
      <c r="C12" s="1" t="s">
        <v>163</v>
      </c>
      <c r="D12" s="1" t="s">
        <v>5</v>
      </c>
      <c r="E12" s="1" t="s">
        <v>6</v>
      </c>
      <c r="F12" s="1" t="s">
        <v>164</v>
      </c>
    </row>
    <row r="13" spans="1:6" x14ac:dyDescent="0.35">
      <c r="A13" s="58" t="s">
        <v>172</v>
      </c>
      <c r="B13" s="58" t="s">
        <v>173</v>
      </c>
      <c r="C13" s="59"/>
      <c r="D13" s="59" t="s">
        <v>21</v>
      </c>
      <c r="E13" s="59"/>
      <c r="F13" s="59" t="s">
        <v>167</v>
      </c>
    </row>
    <row r="14" spans="1:6" x14ac:dyDescent="0.35">
      <c r="A14" s="58" t="s">
        <v>174</v>
      </c>
      <c r="B14" s="58" t="s">
        <v>175</v>
      </c>
      <c r="C14" s="59"/>
      <c r="D14" s="59" t="s">
        <v>21</v>
      </c>
      <c r="E14" s="59"/>
      <c r="F14" s="59" t="s">
        <v>176</v>
      </c>
    </row>
    <row r="15" spans="1:6" ht="22" customHeight="1" x14ac:dyDescent="0.35">
      <c r="A15" s="131" t="s">
        <v>177</v>
      </c>
      <c r="B15" s="130"/>
      <c r="C15" s="130"/>
      <c r="D15" s="130"/>
      <c r="E15" s="130"/>
      <c r="F15" s="130"/>
    </row>
    <row r="16" spans="1:6" ht="35" customHeight="1" x14ac:dyDescent="0.35">
      <c r="A16" s="32" t="s">
        <v>161</v>
      </c>
      <c r="B16" s="32" t="s">
        <v>162</v>
      </c>
      <c r="C16" s="32" t="s">
        <v>163</v>
      </c>
      <c r="D16" s="32" t="s">
        <v>5</v>
      </c>
      <c r="E16" s="32" t="s">
        <v>6</v>
      </c>
      <c r="F16" s="32" t="s">
        <v>164</v>
      </c>
    </row>
    <row r="17" spans="1:6" x14ac:dyDescent="0.35">
      <c r="A17" s="33" t="s">
        <v>324</v>
      </c>
      <c r="B17" s="33" t="s">
        <v>179</v>
      </c>
      <c r="C17" s="34" t="s">
        <v>180</v>
      </c>
      <c r="D17" s="34" t="s">
        <v>30</v>
      </c>
      <c r="E17" s="34"/>
      <c r="F17" s="34" t="s">
        <v>178</v>
      </c>
    </row>
    <row r="18" spans="1:6" x14ac:dyDescent="0.35">
      <c r="A18" s="64" t="s">
        <v>274</v>
      </c>
      <c r="B18" s="64" t="s">
        <v>181</v>
      </c>
      <c r="C18" s="65" t="s">
        <v>182</v>
      </c>
      <c r="D18" s="65" t="s">
        <v>88</v>
      </c>
      <c r="E18" s="65"/>
      <c r="F18" s="65" t="s">
        <v>183</v>
      </c>
    </row>
    <row r="20" spans="1:6" ht="22" customHeight="1" x14ac:dyDescent="0.35">
      <c r="A20" s="131" t="s">
        <v>184</v>
      </c>
      <c r="B20" s="130"/>
      <c r="C20" s="130"/>
      <c r="D20" s="130"/>
      <c r="E20" s="130"/>
      <c r="F20" s="130"/>
    </row>
    <row r="21" spans="1:6" ht="35" customHeight="1" x14ac:dyDescent="0.35">
      <c r="A21" s="1" t="s">
        <v>141</v>
      </c>
      <c r="B21" s="1" t="s">
        <v>162</v>
      </c>
      <c r="C21" s="1" t="s">
        <v>185</v>
      </c>
      <c r="D21" s="1" t="s">
        <v>186</v>
      </c>
      <c r="E21" s="1" t="s">
        <v>6</v>
      </c>
      <c r="F21" s="1" t="s">
        <v>164</v>
      </c>
    </row>
    <row r="22" spans="1:6" x14ac:dyDescent="0.35">
      <c r="A22" s="40" t="s">
        <v>187</v>
      </c>
      <c r="B22" s="40" t="s">
        <v>188</v>
      </c>
      <c r="C22" s="42" t="s">
        <v>6</v>
      </c>
      <c r="D22" s="42" t="s">
        <v>6</v>
      </c>
      <c r="E22" s="42"/>
      <c r="F22" s="42" t="s">
        <v>167</v>
      </c>
    </row>
    <row r="23" spans="1:6" x14ac:dyDescent="0.35">
      <c r="A23" s="40" t="s">
        <v>189</v>
      </c>
      <c r="B23" s="40" t="s">
        <v>190</v>
      </c>
      <c r="C23" s="42">
        <v>0</v>
      </c>
      <c r="D23" s="42" t="s">
        <v>276</v>
      </c>
      <c r="E23" s="42"/>
      <c r="F23" s="42" t="s">
        <v>191</v>
      </c>
    </row>
    <row r="24" spans="1:6" x14ac:dyDescent="0.35">
      <c r="A24" s="40" t="s">
        <v>323</v>
      </c>
      <c r="B24" s="40" t="s">
        <v>192</v>
      </c>
      <c r="C24" s="42">
        <v>200</v>
      </c>
      <c r="D24" s="42">
        <v>217</v>
      </c>
      <c r="E24" s="42"/>
      <c r="F24" s="42" t="s">
        <v>193</v>
      </c>
    </row>
    <row r="25" spans="1:6" x14ac:dyDescent="0.35">
      <c r="A25" s="40" t="s">
        <v>275</v>
      </c>
      <c r="B25" s="40" t="s">
        <v>194</v>
      </c>
      <c r="C25" s="42">
        <v>100</v>
      </c>
      <c r="D25" s="42">
        <v>217</v>
      </c>
      <c r="E25" s="42"/>
      <c r="F25" s="42" t="s">
        <v>193</v>
      </c>
    </row>
    <row r="26" spans="1:6" x14ac:dyDescent="0.35">
      <c r="A26" s="40" t="s">
        <v>147</v>
      </c>
      <c r="B26" s="40" t="s">
        <v>195</v>
      </c>
      <c r="C26" s="42">
        <v>0</v>
      </c>
      <c r="D26" s="42" t="s">
        <v>6</v>
      </c>
      <c r="E26" s="42"/>
      <c r="F26" s="42" t="s">
        <v>196</v>
      </c>
    </row>
    <row r="27" spans="1:6" x14ac:dyDescent="0.35">
      <c r="A27" s="40" t="s">
        <v>150</v>
      </c>
      <c r="B27" s="40" t="s">
        <v>197</v>
      </c>
      <c r="C27" s="42">
        <v>0</v>
      </c>
      <c r="D27" s="42" t="s">
        <v>6</v>
      </c>
      <c r="E27" s="42"/>
      <c r="F27" s="42" t="s">
        <v>196</v>
      </c>
    </row>
    <row r="28" spans="1:6" x14ac:dyDescent="0.35">
      <c r="A28" s="40" t="s">
        <v>153</v>
      </c>
      <c r="B28" s="40" t="s">
        <v>198</v>
      </c>
      <c r="C28" s="42">
        <v>0</v>
      </c>
      <c r="D28" s="42">
        <v>25</v>
      </c>
      <c r="E28" s="42"/>
      <c r="F28" s="42" t="s">
        <v>191</v>
      </c>
    </row>
    <row r="29" spans="1:6" x14ac:dyDescent="0.35">
      <c r="A29" s="60" t="s">
        <v>156</v>
      </c>
      <c r="B29" s="40" t="s">
        <v>199</v>
      </c>
      <c r="C29" s="42">
        <v>0</v>
      </c>
      <c r="D29" s="42">
        <v>130</v>
      </c>
      <c r="E29" s="42"/>
      <c r="F29" s="42" t="s">
        <v>191</v>
      </c>
    </row>
    <row r="30" spans="1:6" x14ac:dyDescent="0.35">
      <c r="A30" s="40" t="s">
        <v>158</v>
      </c>
      <c r="B30" s="40" t="s">
        <v>200</v>
      </c>
      <c r="C30" s="42">
        <v>0</v>
      </c>
      <c r="D30" s="42" t="s">
        <v>6</v>
      </c>
      <c r="E30" s="42"/>
      <c r="F30" s="42" t="s">
        <v>196</v>
      </c>
    </row>
    <row r="31" spans="1:6" x14ac:dyDescent="0.35">
      <c r="A31" s="40" t="s">
        <v>322</v>
      </c>
      <c r="B31" s="40" t="s">
        <v>201</v>
      </c>
      <c r="C31" s="42">
        <v>10000</v>
      </c>
      <c r="D31" s="42">
        <v>63000</v>
      </c>
      <c r="E31" s="42"/>
      <c r="F31" s="42" t="s">
        <v>202</v>
      </c>
    </row>
    <row r="32" spans="1:6" x14ac:dyDescent="0.35">
      <c r="A32" s="4" t="s">
        <v>203</v>
      </c>
      <c r="B32" s="4" t="s">
        <v>204</v>
      </c>
      <c r="C32" s="6" t="s">
        <v>6</v>
      </c>
      <c r="D32" s="6" t="s">
        <v>6</v>
      </c>
      <c r="E32" s="6"/>
      <c r="F32" s="6" t="s">
        <v>205</v>
      </c>
    </row>
    <row r="33" spans="1:6" x14ac:dyDescent="0.35">
      <c r="A33" s="21" t="s">
        <v>206</v>
      </c>
      <c r="B33" s="21" t="s">
        <v>207</v>
      </c>
      <c r="C33" s="22" t="s">
        <v>6</v>
      </c>
      <c r="D33" s="22" t="s">
        <v>6</v>
      </c>
      <c r="E33" s="22"/>
      <c r="F33" s="22" t="s">
        <v>205</v>
      </c>
    </row>
    <row r="34" spans="1:6" x14ac:dyDescent="0.35">
      <c r="A34" s="23"/>
      <c r="B34" s="23"/>
      <c r="C34" s="24"/>
      <c r="D34" s="24"/>
      <c r="E34" s="24"/>
      <c r="F34" s="24"/>
    </row>
    <row r="35" spans="1:6" x14ac:dyDescent="0.35">
      <c r="A35" s="23"/>
      <c r="B35" s="23"/>
      <c r="C35" s="24"/>
      <c r="D35" s="24"/>
      <c r="E35" s="24"/>
      <c r="F35" s="24"/>
    </row>
    <row r="36" spans="1:6" x14ac:dyDescent="0.35">
      <c r="A36" s="23"/>
      <c r="B36" s="23"/>
      <c r="C36" s="24"/>
      <c r="D36" s="24"/>
      <c r="E36" s="24"/>
      <c r="F36" s="24"/>
    </row>
    <row r="37" spans="1:6" ht="14.5" customHeight="1" x14ac:dyDescent="0.35">
      <c r="A37" s="139" t="s">
        <v>112</v>
      </c>
      <c r="B37" s="140"/>
      <c r="C37" s="140"/>
      <c r="D37" s="140"/>
      <c r="E37" s="140"/>
      <c r="F37" s="140"/>
    </row>
    <row r="38" spans="1:6" x14ac:dyDescent="0.35">
      <c r="A38" s="1" t="s">
        <v>113</v>
      </c>
      <c r="B38" s="1" t="s">
        <v>3</v>
      </c>
      <c r="C38" s="1" t="s">
        <v>114</v>
      </c>
      <c r="D38" s="1" t="s">
        <v>5</v>
      </c>
      <c r="E38" s="1" t="s">
        <v>6</v>
      </c>
      <c r="F38" s="1" t="s">
        <v>115</v>
      </c>
    </row>
    <row r="39" spans="1:6" ht="25" x14ac:dyDescent="0.35">
      <c r="A39" s="61" t="s">
        <v>116</v>
      </c>
      <c r="B39" s="61" t="s">
        <v>117</v>
      </c>
      <c r="C39" s="62" t="s">
        <v>118</v>
      </c>
      <c r="D39" s="62" t="s">
        <v>21</v>
      </c>
      <c r="E39" s="62"/>
      <c r="F39" s="61" t="s">
        <v>119</v>
      </c>
    </row>
    <row r="40" spans="1:6" x14ac:dyDescent="0.35">
      <c r="A40" s="61" t="s">
        <v>78</v>
      </c>
      <c r="B40" s="61" t="s">
        <v>120</v>
      </c>
      <c r="C40" s="63" t="s">
        <v>277</v>
      </c>
      <c r="D40" s="62" t="s">
        <v>21</v>
      </c>
      <c r="E40" s="62"/>
      <c r="F40" s="61" t="s">
        <v>121</v>
      </c>
    </row>
    <row r="41" spans="1:6" x14ac:dyDescent="0.35">
      <c r="A41" s="61" t="s">
        <v>80</v>
      </c>
      <c r="B41" s="61" t="s">
        <v>122</v>
      </c>
      <c r="C41" s="63" t="s">
        <v>278</v>
      </c>
      <c r="D41" s="62" t="s">
        <v>21</v>
      </c>
      <c r="E41" s="62"/>
      <c r="F41" s="61" t="s">
        <v>123</v>
      </c>
    </row>
    <row r="42" spans="1:6" x14ac:dyDescent="0.35">
      <c r="A42" s="61" t="s">
        <v>124</v>
      </c>
      <c r="B42" s="61" t="s">
        <v>125</v>
      </c>
      <c r="C42" s="63" t="s">
        <v>279</v>
      </c>
      <c r="D42" s="62" t="s">
        <v>21</v>
      </c>
      <c r="E42" s="62"/>
      <c r="F42" s="61" t="s">
        <v>126</v>
      </c>
    </row>
    <row r="43" spans="1:6" x14ac:dyDescent="0.35">
      <c r="A43" s="61" t="s">
        <v>127</v>
      </c>
      <c r="B43" s="61" t="s">
        <v>128</v>
      </c>
      <c r="C43" s="63" t="s">
        <v>279</v>
      </c>
      <c r="D43" s="62" t="s">
        <v>21</v>
      </c>
      <c r="E43" s="62"/>
      <c r="F43" s="61" t="s">
        <v>126</v>
      </c>
    </row>
    <row r="44" spans="1:6" x14ac:dyDescent="0.35">
      <c r="A44" s="61" t="s">
        <v>129</v>
      </c>
      <c r="B44" s="61" t="s">
        <v>130</v>
      </c>
      <c r="C44" s="63" t="s">
        <v>279</v>
      </c>
      <c r="D44" s="62" t="s">
        <v>21</v>
      </c>
      <c r="E44" s="62"/>
      <c r="F44" s="61" t="s">
        <v>126</v>
      </c>
    </row>
    <row r="45" spans="1:6" x14ac:dyDescent="0.35">
      <c r="A45" s="61" t="s">
        <v>79</v>
      </c>
      <c r="B45" s="61" t="s">
        <v>131</v>
      </c>
      <c r="C45" s="63" t="s">
        <v>277</v>
      </c>
      <c r="D45" s="62" t="s">
        <v>21</v>
      </c>
      <c r="E45" s="62"/>
      <c r="F45" s="61" t="s">
        <v>121</v>
      </c>
    </row>
    <row r="46" spans="1:6" x14ac:dyDescent="0.35">
      <c r="A46" s="4" t="s">
        <v>132</v>
      </c>
      <c r="B46" s="4" t="s">
        <v>133</v>
      </c>
      <c r="C46" s="25" t="s">
        <v>280</v>
      </c>
      <c r="D46" s="6" t="s">
        <v>21</v>
      </c>
      <c r="E46" s="6"/>
      <c r="F46" s="4">
        <f>40+40+40+3</f>
        <v>123</v>
      </c>
    </row>
    <row r="47" spans="1:6" ht="25" x14ac:dyDescent="0.35">
      <c r="A47" s="7" t="s">
        <v>134</v>
      </c>
      <c r="B47" s="7" t="s">
        <v>135</v>
      </c>
      <c r="C47" s="26" t="s">
        <v>281</v>
      </c>
      <c r="D47" s="8" t="s">
        <v>21</v>
      </c>
      <c r="E47" s="8"/>
      <c r="F47" s="7" t="s">
        <v>136</v>
      </c>
    </row>
  </sheetData>
  <mergeCells count="8">
    <mergeCell ref="A1:F1"/>
    <mergeCell ref="A5:F5"/>
    <mergeCell ref="A8:F8"/>
    <mergeCell ref="A37:F37"/>
    <mergeCell ref="A20:F20"/>
    <mergeCell ref="A15:F15"/>
    <mergeCell ref="A2:F2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showGridLines="0" tabSelected="1" topLeftCell="A55" zoomScale="93" workbookViewId="0">
      <selection activeCell="B62" sqref="B62"/>
    </sheetView>
  </sheetViews>
  <sheetFormatPr baseColWidth="10" defaultColWidth="8.7265625" defaultRowHeight="14.5" x14ac:dyDescent="0.35"/>
  <cols>
    <col min="1" max="1" width="28" customWidth="1"/>
    <col min="2" max="2" width="40" customWidth="1"/>
    <col min="3" max="4" width="16" customWidth="1"/>
    <col min="5" max="5" width="12" customWidth="1"/>
    <col min="6" max="6" width="32" customWidth="1"/>
  </cols>
  <sheetData>
    <row r="1" spans="1:6" ht="30" customHeight="1" x14ac:dyDescent="0.35">
      <c r="A1" s="146" t="s">
        <v>312</v>
      </c>
      <c r="B1" s="130"/>
      <c r="C1" s="130"/>
      <c r="D1" s="130"/>
      <c r="E1" s="130"/>
      <c r="F1" s="130"/>
    </row>
    <row r="2" spans="1:6" ht="22" customHeight="1" x14ac:dyDescent="0.35">
      <c r="A2" s="145" t="s">
        <v>314</v>
      </c>
      <c r="B2" s="130"/>
      <c r="C2" s="130"/>
      <c r="D2" s="130"/>
      <c r="E2" s="130"/>
      <c r="F2" s="130"/>
    </row>
    <row r="3" spans="1:6" ht="35" customHeight="1" x14ac:dyDescent="0.35">
      <c r="A3" s="37" t="s">
        <v>290</v>
      </c>
      <c r="B3" s="37" t="s">
        <v>291</v>
      </c>
      <c r="C3" s="37" t="s">
        <v>3</v>
      </c>
      <c r="D3" s="37" t="s">
        <v>313</v>
      </c>
      <c r="E3" s="37" t="s">
        <v>315</v>
      </c>
      <c r="F3" s="37" t="s">
        <v>5</v>
      </c>
    </row>
    <row r="4" spans="1:6" x14ac:dyDescent="0.35">
      <c r="A4" s="147" t="s">
        <v>292</v>
      </c>
      <c r="B4" s="148"/>
      <c r="C4" s="148"/>
      <c r="D4" s="148"/>
      <c r="E4" s="148"/>
      <c r="F4" s="148"/>
    </row>
    <row r="5" spans="1:6" ht="24" x14ac:dyDescent="0.35">
      <c r="A5" s="66">
        <v>1</v>
      </c>
      <c r="B5" s="67" t="s">
        <v>218</v>
      </c>
      <c r="C5" s="68" t="s">
        <v>293</v>
      </c>
      <c r="D5" s="69" t="s">
        <v>294</v>
      </c>
      <c r="E5" s="70"/>
      <c r="F5" s="71" t="s">
        <v>295</v>
      </c>
    </row>
    <row r="6" spans="1:6" ht="24" x14ac:dyDescent="0.35">
      <c r="A6" s="66">
        <v>2</v>
      </c>
      <c r="B6" s="67" t="s">
        <v>217</v>
      </c>
      <c r="C6" s="68" t="s">
        <v>13</v>
      </c>
      <c r="D6" s="69" t="s">
        <v>296</v>
      </c>
      <c r="E6" s="70"/>
      <c r="F6" s="71" t="s">
        <v>14</v>
      </c>
    </row>
    <row r="7" spans="1:6" ht="23" x14ac:dyDescent="0.35">
      <c r="A7" s="66">
        <v>3</v>
      </c>
      <c r="B7" s="67" t="s">
        <v>297</v>
      </c>
      <c r="C7" s="68" t="s">
        <v>298</v>
      </c>
      <c r="D7" s="69" t="s">
        <v>327</v>
      </c>
      <c r="E7" s="70"/>
      <c r="F7" s="71" t="s">
        <v>21</v>
      </c>
    </row>
    <row r="8" spans="1:6" x14ac:dyDescent="0.35">
      <c r="A8" s="143" t="s">
        <v>299</v>
      </c>
      <c r="B8" s="142"/>
      <c r="C8" s="142"/>
      <c r="D8" s="142"/>
      <c r="E8" s="142"/>
      <c r="F8" s="142"/>
    </row>
    <row r="9" spans="1:6" ht="24" x14ac:dyDescent="0.35">
      <c r="A9" s="72">
        <v>4</v>
      </c>
      <c r="B9" s="73" t="s">
        <v>213</v>
      </c>
      <c r="C9" s="74" t="s">
        <v>214</v>
      </c>
      <c r="D9" s="69" t="s">
        <v>328</v>
      </c>
      <c r="E9" s="70"/>
      <c r="F9" s="75" t="s">
        <v>300</v>
      </c>
    </row>
    <row r="10" spans="1:6" s="35" customFormat="1" ht="23" x14ac:dyDescent="0.35">
      <c r="A10" s="72">
        <v>5</v>
      </c>
      <c r="B10" s="73" t="s">
        <v>329</v>
      </c>
      <c r="C10" s="74" t="s">
        <v>330</v>
      </c>
      <c r="D10" s="69" t="s">
        <v>331</v>
      </c>
      <c r="E10" s="70"/>
      <c r="F10" s="75"/>
    </row>
    <row r="11" spans="1:6" s="35" customFormat="1" ht="34.5" x14ac:dyDescent="0.35">
      <c r="A11" s="72">
        <v>6</v>
      </c>
      <c r="B11" s="73" t="s">
        <v>335</v>
      </c>
      <c r="C11" s="74" t="s">
        <v>336</v>
      </c>
      <c r="D11" s="69" t="s">
        <v>337</v>
      </c>
      <c r="E11" s="70"/>
      <c r="F11" s="75"/>
    </row>
    <row r="12" spans="1:6" s="35" customFormat="1" ht="34.5" x14ac:dyDescent="0.35">
      <c r="A12" s="72">
        <v>7</v>
      </c>
      <c r="B12" s="73" t="s">
        <v>332</v>
      </c>
      <c r="C12" s="74" t="s">
        <v>333</v>
      </c>
      <c r="D12" s="69" t="s">
        <v>334</v>
      </c>
      <c r="E12" s="70"/>
      <c r="F12" s="75"/>
    </row>
    <row r="13" spans="1:6" ht="23" x14ac:dyDescent="0.35">
      <c r="A13" s="72">
        <v>8</v>
      </c>
      <c r="B13" s="73" t="s">
        <v>301</v>
      </c>
      <c r="C13" s="74" t="s">
        <v>302</v>
      </c>
      <c r="D13" s="69" t="s">
        <v>303</v>
      </c>
      <c r="E13" s="70"/>
      <c r="F13" s="75" t="s">
        <v>25</v>
      </c>
    </row>
    <row r="14" spans="1:6" x14ac:dyDescent="0.35">
      <c r="A14" s="149" t="s">
        <v>325</v>
      </c>
      <c r="B14" s="150"/>
      <c r="C14" s="150"/>
      <c r="D14" s="150"/>
      <c r="E14" s="150"/>
      <c r="F14" s="150"/>
    </row>
    <row r="15" spans="1:6" x14ac:dyDescent="0.35">
      <c r="A15" s="83">
        <v>10</v>
      </c>
      <c r="B15" s="84" t="s">
        <v>210</v>
      </c>
      <c r="C15" s="85" t="s">
        <v>340</v>
      </c>
      <c r="D15" s="86" t="s">
        <v>338</v>
      </c>
      <c r="E15" s="87"/>
      <c r="F15" s="88" t="s">
        <v>21</v>
      </c>
    </row>
    <row r="16" spans="1:6" x14ac:dyDescent="0.35">
      <c r="A16" s="141" t="s">
        <v>345</v>
      </c>
      <c r="B16" s="142"/>
      <c r="C16" s="142"/>
      <c r="D16" s="142"/>
      <c r="E16" s="142"/>
      <c r="F16" s="142"/>
    </row>
    <row r="17" spans="1:8" x14ac:dyDescent="0.35">
      <c r="A17" s="94">
        <v>11</v>
      </c>
      <c r="B17" s="95" t="s">
        <v>211</v>
      </c>
      <c r="C17" s="96" t="s">
        <v>339</v>
      </c>
      <c r="D17" s="86" t="s">
        <v>307</v>
      </c>
      <c r="E17" s="87"/>
      <c r="F17" s="97" t="s">
        <v>21</v>
      </c>
    </row>
    <row r="18" spans="1:8" x14ac:dyDescent="0.35">
      <c r="A18" s="143" t="s">
        <v>341</v>
      </c>
      <c r="B18" s="142"/>
      <c r="C18" s="142"/>
      <c r="D18" s="142"/>
      <c r="E18" s="142"/>
      <c r="F18" s="142"/>
    </row>
    <row r="19" spans="1:8" ht="23" x14ac:dyDescent="0.35">
      <c r="A19" s="98">
        <v>12</v>
      </c>
      <c r="B19" s="99" t="s">
        <v>308</v>
      </c>
      <c r="C19" s="100" t="s">
        <v>212</v>
      </c>
      <c r="D19" s="101" t="s">
        <v>306</v>
      </c>
      <c r="E19" s="102"/>
      <c r="F19" s="103" t="s">
        <v>21</v>
      </c>
    </row>
    <row r="20" spans="1:8" ht="28" customHeight="1" x14ac:dyDescent="0.35">
      <c r="A20" s="98">
        <v>13</v>
      </c>
      <c r="B20" s="99" t="s">
        <v>342</v>
      </c>
      <c r="C20" s="100" t="s">
        <v>212</v>
      </c>
      <c r="D20" s="101" t="s">
        <v>304</v>
      </c>
      <c r="E20" s="102"/>
      <c r="F20" s="103" t="s">
        <v>10</v>
      </c>
    </row>
    <row r="21" spans="1:8" ht="24" x14ac:dyDescent="0.35">
      <c r="A21" s="98">
        <v>14</v>
      </c>
      <c r="B21" s="99" t="s">
        <v>343</v>
      </c>
      <c r="C21" s="100" t="s">
        <v>212</v>
      </c>
      <c r="D21" s="101" t="s">
        <v>305</v>
      </c>
      <c r="E21" s="102"/>
      <c r="F21" s="103" t="s">
        <v>14</v>
      </c>
    </row>
    <row r="22" spans="1:8" x14ac:dyDescent="0.35">
      <c r="A22" s="143" t="s">
        <v>344</v>
      </c>
      <c r="B22" s="142"/>
      <c r="C22" s="142"/>
      <c r="D22" s="142"/>
      <c r="E22" s="142"/>
      <c r="F22" s="142"/>
      <c r="G22" s="36"/>
    </row>
    <row r="23" spans="1:8" ht="23" x14ac:dyDescent="0.35">
      <c r="A23" s="105">
        <v>15</v>
      </c>
      <c r="B23" s="106" t="s">
        <v>346</v>
      </c>
      <c r="C23" s="107" t="s">
        <v>347</v>
      </c>
      <c r="D23" s="101" t="s">
        <v>348</v>
      </c>
      <c r="E23" s="102"/>
      <c r="F23" s="108" t="s">
        <v>10</v>
      </c>
      <c r="H23" s="36"/>
    </row>
    <row r="24" spans="1:8" s="35" customFormat="1" ht="34.5" x14ac:dyDescent="0.35">
      <c r="A24" s="115">
        <v>16</v>
      </c>
      <c r="B24" s="116" t="s">
        <v>349</v>
      </c>
      <c r="C24" s="117" t="s">
        <v>350</v>
      </c>
      <c r="D24" s="118" t="s">
        <v>351</v>
      </c>
      <c r="E24" s="119"/>
      <c r="F24" s="120" t="s">
        <v>14</v>
      </c>
      <c r="H24" s="104"/>
    </row>
    <row r="25" spans="1:8" s="35" customFormat="1" ht="24" x14ac:dyDescent="0.35">
      <c r="A25" s="94">
        <v>17</v>
      </c>
      <c r="B25" s="95" t="s">
        <v>352</v>
      </c>
      <c r="C25" s="96" t="s">
        <v>353</v>
      </c>
      <c r="D25" s="86" t="s">
        <v>354</v>
      </c>
      <c r="E25" s="87"/>
      <c r="F25" s="97" t="s">
        <v>10</v>
      </c>
    </row>
    <row r="26" spans="1:8" s="35" customFormat="1" ht="34.5" x14ac:dyDescent="0.35">
      <c r="A26" s="109">
        <v>18</v>
      </c>
      <c r="B26" s="110" t="s">
        <v>355</v>
      </c>
      <c r="C26" s="111" t="s">
        <v>356</v>
      </c>
      <c r="D26" s="112" t="s">
        <v>311</v>
      </c>
      <c r="E26" s="113"/>
      <c r="F26" s="114" t="s">
        <v>21</v>
      </c>
    </row>
    <row r="27" spans="1:8" x14ac:dyDescent="0.35">
      <c r="A27" s="144" t="s">
        <v>310</v>
      </c>
      <c r="B27" s="142"/>
      <c r="C27" s="142"/>
      <c r="D27" s="142"/>
      <c r="E27" s="142"/>
      <c r="F27" s="142"/>
    </row>
    <row r="28" spans="1:8" ht="23" x14ac:dyDescent="0.35">
      <c r="A28" s="79">
        <v>19</v>
      </c>
      <c r="B28" s="80" t="s">
        <v>215</v>
      </c>
      <c r="C28" s="81" t="s">
        <v>66</v>
      </c>
      <c r="D28" s="69" t="s">
        <v>358</v>
      </c>
      <c r="E28" s="70"/>
      <c r="F28" s="82" t="s">
        <v>10</v>
      </c>
    </row>
    <row r="29" spans="1:8" ht="23" x14ac:dyDescent="0.35">
      <c r="A29" s="79">
        <v>20</v>
      </c>
      <c r="B29" s="80" t="s">
        <v>216</v>
      </c>
      <c r="C29" s="81" t="s">
        <v>68</v>
      </c>
      <c r="D29" s="69" t="s">
        <v>357</v>
      </c>
      <c r="E29" s="70"/>
      <c r="F29" s="82" t="s">
        <v>14</v>
      </c>
    </row>
    <row r="31" spans="1:8" ht="14.5" customHeight="1" x14ac:dyDescent="0.35">
      <c r="A31" s="152" t="s">
        <v>359</v>
      </c>
      <c r="B31" s="153"/>
      <c r="C31" s="153"/>
      <c r="D31" s="153"/>
      <c r="E31" s="153"/>
      <c r="F31" s="153"/>
    </row>
    <row r="32" spans="1:8" ht="23" x14ac:dyDescent="0.35">
      <c r="A32" s="76">
        <v>21</v>
      </c>
      <c r="B32" s="121" t="s">
        <v>361</v>
      </c>
      <c r="C32" s="77" t="s">
        <v>360</v>
      </c>
      <c r="D32" s="69" t="s">
        <v>362</v>
      </c>
      <c r="E32" s="70"/>
      <c r="F32" s="78" t="s">
        <v>88</v>
      </c>
    </row>
    <row r="33" spans="1:6" ht="23" x14ac:dyDescent="0.35">
      <c r="A33" s="76">
        <v>22</v>
      </c>
      <c r="B33" s="121" t="s">
        <v>363</v>
      </c>
      <c r="C33" s="77" t="s">
        <v>364</v>
      </c>
      <c r="D33" s="69" t="s">
        <v>365</v>
      </c>
      <c r="E33" s="70"/>
      <c r="F33" s="78" t="s">
        <v>88</v>
      </c>
    </row>
    <row r="34" spans="1:6" ht="23" x14ac:dyDescent="0.35">
      <c r="A34" s="76">
        <v>23</v>
      </c>
      <c r="B34" s="121" t="s">
        <v>366</v>
      </c>
      <c r="C34" s="77" t="s">
        <v>367</v>
      </c>
      <c r="D34" s="69" t="s">
        <v>368</v>
      </c>
      <c r="E34" s="70"/>
      <c r="F34" s="78" t="s">
        <v>88</v>
      </c>
    </row>
    <row r="35" spans="1:6" ht="24" x14ac:dyDescent="0.35">
      <c r="A35" s="76">
        <v>24</v>
      </c>
      <c r="B35" s="121" t="s">
        <v>371</v>
      </c>
      <c r="C35" s="77" t="s">
        <v>369</v>
      </c>
      <c r="D35" s="69" t="s">
        <v>370</v>
      </c>
      <c r="E35" s="70"/>
      <c r="F35" s="78" t="s">
        <v>88</v>
      </c>
    </row>
    <row r="36" spans="1:6" ht="23" x14ac:dyDescent="0.35">
      <c r="A36" s="76">
        <v>25</v>
      </c>
      <c r="B36" s="121" t="s">
        <v>372</v>
      </c>
      <c r="C36" s="77" t="s">
        <v>373</v>
      </c>
      <c r="D36" s="69" t="s">
        <v>374</v>
      </c>
      <c r="E36" s="70"/>
      <c r="F36" s="78" t="s">
        <v>88</v>
      </c>
    </row>
    <row r="37" spans="1:6" ht="23" x14ac:dyDescent="0.35">
      <c r="A37" s="76">
        <v>26</v>
      </c>
      <c r="B37" s="121" t="s">
        <v>379</v>
      </c>
      <c r="C37" s="77" t="s">
        <v>375</v>
      </c>
      <c r="D37" s="69" t="s">
        <v>378</v>
      </c>
      <c r="E37" s="70"/>
      <c r="F37" s="78" t="s">
        <v>88</v>
      </c>
    </row>
    <row r="38" spans="1:6" ht="23" x14ac:dyDescent="0.35">
      <c r="A38" s="76">
        <v>27</v>
      </c>
      <c r="B38" s="121" t="s">
        <v>380</v>
      </c>
      <c r="C38" s="77" t="s">
        <v>377</v>
      </c>
      <c r="D38" s="69" t="s">
        <v>382</v>
      </c>
      <c r="E38" s="70"/>
      <c r="F38" s="78" t="s">
        <v>88</v>
      </c>
    </row>
    <row r="39" spans="1:6" ht="23" x14ac:dyDescent="0.35">
      <c r="A39" s="105">
        <v>28</v>
      </c>
      <c r="B39" s="122" t="s">
        <v>381</v>
      </c>
      <c r="C39" s="107" t="s">
        <v>376</v>
      </c>
      <c r="D39" s="101" t="s">
        <v>383</v>
      </c>
      <c r="E39" s="102"/>
      <c r="F39" s="108" t="s">
        <v>88</v>
      </c>
    </row>
    <row r="40" spans="1:6" x14ac:dyDescent="0.35">
      <c r="A40" s="141" t="s">
        <v>384</v>
      </c>
      <c r="B40" s="142"/>
      <c r="C40" s="142"/>
      <c r="D40" s="142"/>
      <c r="E40" s="142"/>
      <c r="F40" s="142"/>
    </row>
    <row r="41" spans="1:6" ht="23" x14ac:dyDescent="0.35">
      <c r="A41" s="115">
        <v>29</v>
      </c>
      <c r="B41" s="116" t="s">
        <v>386</v>
      </c>
      <c r="C41" s="117" t="s">
        <v>385</v>
      </c>
      <c r="D41" s="118" t="s">
        <v>387</v>
      </c>
      <c r="E41" s="119"/>
      <c r="F41" s="120" t="s">
        <v>388</v>
      </c>
    </row>
    <row r="42" spans="1:6" ht="23" x14ac:dyDescent="0.35">
      <c r="A42" s="115">
        <v>30</v>
      </c>
      <c r="B42" s="116" t="s">
        <v>389</v>
      </c>
      <c r="C42" s="117" t="s">
        <v>390</v>
      </c>
      <c r="D42" s="118" t="s">
        <v>309</v>
      </c>
      <c r="E42" s="119"/>
      <c r="F42" s="120" t="s">
        <v>388</v>
      </c>
    </row>
    <row r="43" spans="1:6" ht="23" x14ac:dyDescent="0.35">
      <c r="A43" s="123">
        <v>31</v>
      </c>
      <c r="B43" s="124" t="s">
        <v>392</v>
      </c>
      <c r="C43" s="125" t="s">
        <v>391</v>
      </c>
      <c r="D43" s="126" t="s">
        <v>393</v>
      </c>
      <c r="E43" s="127"/>
      <c r="F43" s="128" t="s">
        <v>388</v>
      </c>
    </row>
    <row r="44" spans="1:6" x14ac:dyDescent="0.35">
      <c r="A44" s="141" t="s">
        <v>394</v>
      </c>
      <c r="B44" s="142"/>
      <c r="C44" s="142"/>
      <c r="D44" s="142"/>
      <c r="E44" s="142"/>
      <c r="F44" s="142"/>
    </row>
    <row r="45" spans="1:6" x14ac:dyDescent="0.35">
      <c r="A45" s="115">
        <v>32</v>
      </c>
      <c r="B45" s="116" t="s">
        <v>78</v>
      </c>
      <c r="C45" s="117" t="s">
        <v>395</v>
      </c>
      <c r="D45" s="118" t="s">
        <v>396</v>
      </c>
      <c r="E45" s="119"/>
      <c r="F45" s="120" t="s">
        <v>21</v>
      </c>
    </row>
    <row r="46" spans="1:6" ht="23" x14ac:dyDescent="0.35">
      <c r="A46" s="115">
        <v>33</v>
      </c>
      <c r="B46" s="116" t="s">
        <v>397</v>
      </c>
      <c r="C46" s="117" t="s">
        <v>398</v>
      </c>
      <c r="D46" s="118" t="s">
        <v>399</v>
      </c>
      <c r="E46" s="119"/>
      <c r="F46" s="120" t="s">
        <v>10</v>
      </c>
    </row>
    <row r="47" spans="1:6" ht="24" x14ac:dyDescent="0.35">
      <c r="A47" s="115">
        <v>34</v>
      </c>
      <c r="B47" s="116" t="s">
        <v>401</v>
      </c>
      <c r="C47" s="117" t="s">
        <v>402</v>
      </c>
      <c r="D47" s="118" t="s">
        <v>400</v>
      </c>
      <c r="E47" s="119"/>
      <c r="F47" s="120" t="s">
        <v>14</v>
      </c>
    </row>
    <row r="48" spans="1:6" ht="34.5" x14ac:dyDescent="0.35">
      <c r="A48" s="115">
        <v>35</v>
      </c>
      <c r="B48" s="116" t="s">
        <v>404</v>
      </c>
      <c r="C48" s="117" t="s">
        <v>403</v>
      </c>
      <c r="D48" s="118" t="s">
        <v>405</v>
      </c>
      <c r="E48" s="119"/>
      <c r="F48" s="120" t="s">
        <v>21</v>
      </c>
    </row>
    <row r="49" spans="1:6" ht="24" x14ac:dyDescent="0.35">
      <c r="A49" s="115">
        <v>36</v>
      </c>
      <c r="B49" s="116" t="s">
        <v>406</v>
      </c>
      <c r="C49" s="117" t="s">
        <v>407</v>
      </c>
      <c r="D49" s="118" t="s">
        <v>408</v>
      </c>
      <c r="E49" s="119"/>
      <c r="F49" s="120" t="s">
        <v>21</v>
      </c>
    </row>
    <row r="50" spans="1:6" ht="23" x14ac:dyDescent="0.35">
      <c r="A50" s="115">
        <v>37</v>
      </c>
      <c r="B50" s="116" t="s">
        <v>409</v>
      </c>
      <c r="C50" s="117" t="s">
        <v>410</v>
      </c>
      <c r="D50" s="118" t="s">
        <v>411</v>
      </c>
      <c r="E50" s="119"/>
      <c r="F50" s="120" t="s">
        <v>10</v>
      </c>
    </row>
    <row r="51" spans="1:6" ht="23" x14ac:dyDescent="0.35">
      <c r="A51" s="115">
        <v>38</v>
      </c>
      <c r="B51" s="116" t="s">
        <v>412</v>
      </c>
      <c r="C51" s="117" t="s">
        <v>413</v>
      </c>
      <c r="D51" s="118" t="s">
        <v>414</v>
      </c>
      <c r="E51" s="119"/>
      <c r="F51" s="120" t="s">
        <v>14</v>
      </c>
    </row>
    <row r="52" spans="1:6" ht="23" x14ac:dyDescent="0.35">
      <c r="A52" s="115">
        <v>39</v>
      </c>
      <c r="B52" s="116" t="s">
        <v>415</v>
      </c>
      <c r="C52" s="117" t="s">
        <v>416</v>
      </c>
      <c r="D52" s="118" t="s">
        <v>307</v>
      </c>
      <c r="E52" s="119"/>
      <c r="F52" s="120" t="s">
        <v>21</v>
      </c>
    </row>
    <row r="53" spans="1:6" ht="23" x14ac:dyDescent="0.35">
      <c r="A53" s="115">
        <v>40</v>
      </c>
      <c r="B53" s="116" t="s">
        <v>417</v>
      </c>
      <c r="C53" s="117" t="s">
        <v>418</v>
      </c>
      <c r="D53" s="118" t="s">
        <v>419</v>
      </c>
      <c r="E53" s="119"/>
      <c r="F53" s="120" t="s">
        <v>10</v>
      </c>
    </row>
    <row r="54" spans="1:6" ht="24" x14ac:dyDescent="0.35">
      <c r="A54" s="115">
        <v>41</v>
      </c>
      <c r="B54" s="116" t="s">
        <v>420</v>
      </c>
      <c r="C54" s="117" t="s">
        <v>421</v>
      </c>
      <c r="D54" s="118" t="s">
        <v>422</v>
      </c>
      <c r="E54" s="119"/>
      <c r="F54" s="120" t="s">
        <v>14</v>
      </c>
    </row>
    <row r="55" spans="1:6" x14ac:dyDescent="0.35">
      <c r="A55" s="141" t="s">
        <v>423</v>
      </c>
      <c r="B55" s="142"/>
      <c r="C55" s="142"/>
      <c r="D55" s="142"/>
      <c r="E55" s="142"/>
      <c r="F55" s="142"/>
    </row>
    <row r="56" spans="1:6" ht="24" x14ac:dyDescent="0.35">
      <c r="A56" s="105">
        <v>42</v>
      </c>
      <c r="B56" s="122" t="s">
        <v>424</v>
      </c>
      <c r="C56" s="107" t="s">
        <v>425</v>
      </c>
      <c r="D56" s="101" t="s">
        <v>426</v>
      </c>
      <c r="E56" s="102"/>
      <c r="F56" s="108" t="s">
        <v>88</v>
      </c>
    </row>
    <row r="57" spans="1:6" ht="24" x14ac:dyDescent="0.35">
      <c r="A57" s="105">
        <v>43</v>
      </c>
      <c r="B57" s="122" t="s">
        <v>427</v>
      </c>
      <c r="C57" s="107" t="s">
        <v>428</v>
      </c>
      <c r="D57" s="101" t="s">
        <v>429</v>
      </c>
      <c r="E57" s="102"/>
      <c r="F57" s="108" t="s">
        <v>88</v>
      </c>
    </row>
    <row r="58" spans="1:6" x14ac:dyDescent="0.35">
      <c r="A58" s="89"/>
      <c r="B58" s="154"/>
      <c r="C58" s="90"/>
      <c r="D58" s="91"/>
      <c r="E58" s="92"/>
      <c r="F58" s="93"/>
    </row>
  </sheetData>
  <mergeCells count="13">
    <mergeCell ref="A44:F44"/>
    <mergeCell ref="A55:F55"/>
    <mergeCell ref="A1:F1"/>
    <mergeCell ref="A4:F4"/>
    <mergeCell ref="A8:F8"/>
    <mergeCell ref="A14:F14"/>
    <mergeCell ref="A16:F16"/>
    <mergeCell ref="A40:F40"/>
    <mergeCell ref="A18:F18"/>
    <mergeCell ref="A27:F27"/>
    <mergeCell ref="A31:F31"/>
    <mergeCell ref="A2:F2"/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topLeftCell="A12" workbookViewId="0">
      <selection activeCell="A22" sqref="A22:F22"/>
    </sheetView>
  </sheetViews>
  <sheetFormatPr baseColWidth="10" defaultColWidth="8.7265625" defaultRowHeight="14.5" x14ac:dyDescent="0.35"/>
  <cols>
    <col min="1" max="1" width="26" customWidth="1"/>
    <col min="2" max="4" width="14" customWidth="1"/>
    <col min="5" max="5" width="20" customWidth="1"/>
    <col min="6" max="6" width="30" customWidth="1"/>
  </cols>
  <sheetData>
    <row r="1" spans="1:6" ht="30" customHeight="1" x14ac:dyDescent="0.35">
      <c r="A1" s="129" t="s">
        <v>219</v>
      </c>
      <c r="B1" s="130"/>
      <c r="C1" s="130"/>
      <c r="D1" s="130"/>
      <c r="E1" s="130"/>
      <c r="F1" s="130"/>
    </row>
    <row r="2" spans="1:6" ht="22" customHeight="1" x14ac:dyDescent="0.35">
      <c r="A2" s="131" t="s">
        <v>220</v>
      </c>
      <c r="B2" s="130"/>
      <c r="C2" s="130"/>
      <c r="D2" s="130"/>
      <c r="E2" s="130"/>
      <c r="F2" s="130"/>
    </row>
    <row r="3" spans="1:6" ht="35" customHeight="1" x14ac:dyDescent="0.35">
      <c r="A3" s="1" t="s">
        <v>221</v>
      </c>
      <c r="B3" s="1" t="s">
        <v>222</v>
      </c>
      <c r="C3" s="1" t="s">
        <v>6</v>
      </c>
      <c r="D3" s="1" t="s">
        <v>6</v>
      </c>
      <c r="E3" s="1" t="s">
        <v>162</v>
      </c>
      <c r="F3" s="1" t="s">
        <v>223</v>
      </c>
    </row>
    <row r="4" spans="1:6" x14ac:dyDescent="0.35">
      <c r="A4" s="13" t="s">
        <v>224</v>
      </c>
      <c r="B4" s="8" t="s">
        <v>225</v>
      </c>
      <c r="C4" s="8"/>
      <c r="D4" s="8"/>
      <c r="E4" s="7" t="s">
        <v>226</v>
      </c>
      <c r="F4" s="7" t="s">
        <v>227</v>
      </c>
    </row>
    <row r="5" spans="1:6" ht="25" x14ac:dyDescent="0.35">
      <c r="A5" s="14" t="s">
        <v>228</v>
      </c>
      <c r="B5" s="11" t="s">
        <v>229</v>
      </c>
      <c r="C5" s="11"/>
      <c r="D5" s="11"/>
      <c r="E5" s="9" t="s">
        <v>230</v>
      </c>
      <c r="F5" s="9" t="s">
        <v>231</v>
      </c>
    </row>
    <row r="6" spans="1:6" x14ac:dyDescent="0.35">
      <c r="A6" s="15" t="s">
        <v>232</v>
      </c>
      <c r="B6" s="6" t="s">
        <v>233</v>
      </c>
      <c r="C6" s="6"/>
      <c r="D6" s="6"/>
      <c r="E6" s="4" t="s">
        <v>234</v>
      </c>
      <c r="F6" s="4" t="s">
        <v>235</v>
      </c>
    </row>
    <row r="7" spans="1:6" ht="22" customHeight="1" x14ac:dyDescent="0.35">
      <c r="A7" s="131" t="s">
        <v>236</v>
      </c>
      <c r="B7" s="130"/>
      <c r="C7" s="130"/>
      <c r="D7" s="130"/>
      <c r="E7" s="130"/>
      <c r="F7" s="130"/>
    </row>
    <row r="8" spans="1:6" ht="35" customHeight="1" x14ac:dyDescent="0.35">
      <c r="A8" s="1" t="s">
        <v>208</v>
      </c>
      <c r="B8" s="1" t="s">
        <v>4</v>
      </c>
      <c r="C8" s="1" t="s">
        <v>209</v>
      </c>
      <c r="D8" s="1" t="s">
        <v>237</v>
      </c>
      <c r="E8" s="1" t="s">
        <v>238</v>
      </c>
      <c r="F8" s="1" t="s">
        <v>239</v>
      </c>
    </row>
    <row r="9" spans="1:6" ht="37.5" x14ac:dyDescent="0.35">
      <c r="A9" s="16" t="s">
        <v>240</v>
      </c>
      <c r="B9" s="2">
        <v>217</v>
      </c>
      <c r="C9" s="17" t="s">
        <v>241</v>
      </c>
      <c r="D9" s="18" t="s">
        <v>92</v>
      </c>
      <c r="E9" s="4" t="s">
        <v>242</v>
      </c>
      <c r="F9" s="19" t="s">
        <v>243</v>
      </c>
    </row>
    <row r="10" spans="1:6" ht="37.5" x14ac:dyDescent="0.35">
      <c r="A10" s="20" t="s">
        <v>244</v>
      </c>
      <c r="B10" s="3">
        <v>217</v>
      </c>
      <c r="C10" s="17" t="s">
        <v>241</v>
      </c>
      <c r="D10" s="18" t="s">
        <v>92</v>
      </c>
      <c r="E10" s="4" t="s">
        <v>245</v>
      </c>
      <c r="F10" s="19" t="s">
        <v>246</v>
      </c>
    </row>
    <row r="11" spans="1:6" ht="37.5" x14ac:dyDescent="0.35">
      <c r="A11" s="16" t="s">
        <v>247</v>
      </c>
      <c r="B11" s="2">
        <v>12</v>
      </c>
      <c r="C11" s="17" t="s">
        <v>241</v>
      </c>
      <c r="D11" s="18" t="s">
        <v>92</v>
      </c>
      <c r="E11" s="4" t="s">
        <v>248</v>
      </c>
      <c r="F11" s="19" t="s">
        <v>249</v>
      </c>
    </row>
    <row r="12" spans="1:6" ht="37.5" x14ac:dyDescent="0.35">
      <c r="A12" s="20" t="s">
        <v>250</v>
      </c>
      <c r="B12" s="3">
        <v>57.4</v>
      </c>
      <c r="C12" s="17" t="s">
        <v>241</v>
      </c>
      <c r="D12" s="18" t="s">
        <v>92</v>
      </c>
      <c r="E12" s="4" t="s">
        <v>251</v>
      </c>
      <c r="F12" s="19" t="s">
        <v>252</v>
      </c>
    </row>
    <row r="13" spans="1:6" ht="37.5" x14ac:dyDescent="0.35">
      <c r="A13" s="16" t="s">
        <v>73</v>
      </c>
      <c r="B13" s="2">
        <v>0</v>
      </c>
      <c r="C13" s="17" t="s">
        <v>241</v>
      </c>
      <c r="D13" s="18" t="s">
        <v>92</v>
      </c>
      <c r="E13" s="4" t="s">
        <v>253</v>
      </c>
      <c r="F13" s="19" t="s">
        <v>254</v>
      </c>
    </row>
    <row r="14" spans="1:6" ht="37.5" x14ac:dyDescent="0.35">
      <c r="A14" s="20" t="s">
        <v>76</v>
      </c>
      <c r="B14" s="3">
        <v>0</v>
      </c>
      <c r="C14" s="17" t="s">
        <v>241</v>
      </c>
      <c r="D14" s="18" t="s">
        <v>92</v>
      </c>
      <c r="E14" s="4" t="s">
        <v>255</v>
      </c>
      <c r="F14" s="19" t="s">
        <v>256</v>
      </c>
    </row>
    <row r="15" spans="1:6" ht="37.5" x14ac:dyDescent="0.35">
      <c r="A15" s="16" t="s">
        <v>257</v>
      </c>
      <c r="B15" s="2">
        <v>53446</v>
      </c>
      <c r="C15" s="17" t="s">
        <v>241</v>
      </c>
      <c r="D15" s="18" t="s">
        <v>92</v>
      </c>
      <c r="E15" s="4" t="s">
        <v>258</v>
      </c>
      <c r="F15" s="19" t="s">
        <v>259</v>
      </c>
    </row>
    <row r="16" spans="1:6" ht="37.5" x14ac:dyDescent="0.35">
      <c r="A16" s="20" t="s">
        <v>260</v>
      </c>
      <c r="B16" s="3">
        <v>148</v>
      </c>
      <c r="C16" s="17" t="s">
        <v>241</v>
      </c>
      <c r="D16" s="18" t="s">
        <v>92</v>
      </c>
      <c r="E16" s="4" t="s">
        <v>261</v>
      </c>
      <c r="F16" s="19" t="s">
        <v>262</v>
      </c>
    </row>
    <row r="17" spans="1:6" ht="37.5" x14ac:dyDescent="0.35">
      <c r="A17" s="16" t="s">
        <v>65</v>
      </c>
      <c r="B17" s="2">
        <v>8.1000000000000003E-2</v>
      </c>
      <c r="C17" s="17" t="s">
        <v>241</v>
      </c>
      <c r="D17" s="18" t="s">
        <v>92</v>
      </c>
      <c r="E17" s="4" t="s">
        <v>263</v>
      </c>
      <c r="F17" s="19" t="s">
        <v>264</v>
      </c>
    </row>
    <row r="18" spans="1:6" ht="37.5" x14ac:dyDescent="0.35">
      <c r="A18" s="20" t="s">
        <v>67</v>
      </c>
      <c r="B18" s="3">
        <v>41.8</v>
      </c>
      <c r="C18" s="17" t="s">
        <v>241</v>
      </c>
      <c r="D18" s="18" t="s">
        <v>92</v>
      </c>
      <c r="E18" s="4" t="s">
        <v>265</v>
      </c>
      <c r="F18" s="19" t="s">
        <v>266</v>
      </c>
    </row>
    <row r="19" spans="1:6" ht="25" x14ac:dyDescent="0.35">
      <c r="A19" s="16" t="s">
        <v>12</v>
      </c>
      <c r="B19" s="2">
        <v>470</v>
      </c>
      <c r="C19" s="17" t="s">
        <v>241</v>
      </c>
      <c r="D19" s="18" t="s">
        <v>92</v>
      </c>
      <c r="E19" s="4" t="s">
        <v>267</v>
      </c>
      <c r="F19" s="19" t="s">
        <v>268</v>
      </c>
    </row>
    <row r="20" spans="1:6" ht="37.5" x14ac:dyDescent="0.35">
      <c r="A20" s="20" t="s">
        <v>8</v>
      </c>
      <c r="B20" s="3">
        <v>57</v>
      </c>
      <c r="C20" s="17" t="s">
        <v>241</v>
      </c>
      <c r="D20" s="18" t="s">
        <v>92</v>
      </c>
      <c r="E20" s="4" t="s">
        <v>269</v>
      </c>
      <c r="F20" s="19" t="s">
        <v>270</v>
      </c>
    </row>
    <row r="22" spans="1:6" ht="28" customHeight="1" x14ac:dyDescent="0.35">
      <c r="A22" s="151" t="s">
        <v>326</v>
      </c>
      <c r="B22" s="130"/>
      <c r="C22" s="130"/>
      <c r="D22" s="130"/>
      <c r="E22" s="130"/>
      <c r="F22" s="130"/>
    </row>
  </sheetData>
  <mergeCells count="4">
    <mergeCell ref="A2:F2"/>
    <mergeCell ref="A22:F2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1_Parametres_Fixes</vt:lpstr>
      <vt:lpstr>2_Variables_Entree</vt:lpstr>
      <vt:lpstr>3_Variables_Decision</vt:lpstr>
      <vt:lpstr>4_Bilans_Contraintes</vt:lpstr>
      <vt:lpstr>5_Mesures_Reelles</vt:lpstr>
      <vt:lpstr>6_Diagnostic_Solutions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KHRIBICH</cp:lastModifiedBy>
  <dcterms:created xsi:type="dcterms:W3CDTF">2026-04-01T23:13:01Z</dcterms:created>
  <dcterms:modified xsi:type="dcterms:W3CDTF">2026-04-09T09:47:15Z</dcterms:modified>
</cp:coreProperties>
</file>