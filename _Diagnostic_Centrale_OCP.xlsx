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PFE Master EME 2026\"/>
    </mc:Choice>
  </mc:AlternateContent>
  <xr:revisionPtr revIDLastSave="0" documentId="13_ncr:1_{66AB55F5-F709-4633-B171-391B33053B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Diagnostic_Au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2" l="1"/>
  <c r="H56" i="2" s="1"/>
  <c r="G55" i="2"/>
  <c r="H55" i="2" s="1"/>
  <c r="F53" i="2"/>
  <c r="G53" i="2" s="1"/>
  <c r="H53" i="2" s="1"/>
  <c r="G52" i="2"/>
  <c r="H52" i="2" s="1"/>
  <c r="F52" i="2"/>
  <c r="F51" i="2"/>
  <c r="G51" i="2" s="1"/>
  <c r="H51" i="2" s="1"/>
  <c r="F50" i="2"/>
  <c r="G50" i="2" s="1"/>
  <c r="H50" i="2" s="1"/>
  <c r="F49" i="2"/>
  <c r="G49" i="2" s="1"/>
  <c r="H49" i="2" s="1"/>
  <c r="F48" i="2"/>
  <c r="G48" i="2" s="1"/>
  <c r="H48" i="2" s="1"/>
  <c r="F47" i="2"/>
  <c r="G47" i="2" s="1"/>
  <c r="H47" i="2" s="1"/>
  <c r="F46" i="2"/>
  <c r="G46" i="2" s="1"/>
  <c r="H46" i="2" s="1"/>
  <c r="F45" i="2"/>
  <c r="G45" i="2" s="1"/>
  <c r="H45" i="2" s="1"/>
  <c r="F44" i="2"/>
  <c r="G44" i="2" s="1"/>
  <c r="H44" i="2" s="1"/>
  <c r="H42" i="2"/>
  <c r="H41" i="2"/>
  <c r="H40" i="2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F32" i="2"/>
  <c r="G32" i="2" s="1"/>
  <c r="H32" i="2" s="1"/>
  <c r="F31" i="2"/>
  <c r="G31" i="2" s="1"/>
  <c r="H31" i="2" s="1"/>
  <c r="F29" i="2"/>
  <c r="G29" i="2" s="1"/>
  <c r="H29" i="2" s="1"/>
  <c r="F28" i="2"/>
  <c r="G28" i="2" s="1"/>
  <c r="H28" i="2" s="1"/>
  <c r="G26" i="2"/>
  <c r="H26" i="2" s="1"/>
  <c r="G25" i="2"/>
  <c r="H25" i="2" s="1"/>
  <c r="G24" i="2"/>
  <c r="H24" i="2" s="1"/>
  <c r="G23" i="2"/>
  <c r="H23" i="2" s="1"/>
  <c r="F21" i="2"/>
  <c r="G21" i="2" s="1"/>
  <c r="H21" i="2" s="1"/>
  <c r="F20" i="2"/>
  <c r="G20" i="2" s="1"/>
  <c r="H20" i="2" s="1"/>
  <c r="F19" i="2"/>
  <c r="G19" i="2" s="1"/>
  <c r="H19" i="2" s="1"/>
  <c r="F17" i="2"/>
  <c r="G17" i="2" s="1"/>
  <c r="H17" i="2" s="1"/>
  <c r="F15" i="2"/>
  <c r="G15" i="2" s="1"/>
  <c r="H15" i="2" s="1"/>
  <c r="F13" i="2"/>
  <c r="G13" i="2" s="1"/>
  <c r="H13" i="2" s="1"/>
  <c r="F12" i="2"/>
  <c r="G12" i="2" s="1"/>
  <c r="H12" i="2" s="1"/>
  <c r="F11" i="2"/>
  <c r="G11" i="2" s="1"/>
  <c r="H11" i="2" s="1"/>
  <c r="F10" i="2"/>
  <c r="G10" i="2" s="1"/>
  <c r="H10" i="2" s="1"/>
  <c r="F9" i="2"/>
  <c r="G9" i="2" s="1"/>
  <c r="H9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<sst xmlns="http://schemas.openxmlformats.org/spreadsheetml/2006/main" count="253" uniqueCount="249">
  <si>
    <t>#</t>
  </si>
  <si>
    <t>Description</t>
  </si>
  <si>
    <t>Tag PI</t>
  </si>
  <si>
    <t>ADMISSION HP — Collecteur 60 Bar</t>
  </si>
  <si>
    <t>P_HP_mes</t>
  </si>
  <si>
    <t>Pression vapeur HP</t>
  </si>
  <si>
    <t>515APG10.PIC-328</t>
  </si>
  <si>
    <t>T_HP_mes</t>
  </si>
  <si>
    <t>Température vapeur HP</t>
  </si>
  <si>
    <t>515APG10.TIC-327</t>
  </si>
  <si>
    <t>Q_HP_mes</t>
  </si>
  <si>
    <t>Débit vapeur HP entrant (SAP)</t>
  </si>
  <si>
    <t>515APG10.FI-203</t>
  </si>
  <si>
    <t>TURBINE — GE Nuovo Pignone 3000 RPM</t>
  </si>
  <si>
    <t>P_elec_mes</t>
  </si>
  <si>
    <t>515APG10.JT-963A</t>
  </si>
  <si>
    <t>Q_HP_entrant_turbine_mes</t>
  </si>
  <si>
    <t>515APG10.FI-151</t>
  </si>
  <si>
    <t>T_HP_entrant_turbine_mes</t>
  </si>
  <si>
    <t>515APG10.TI-154</t>
  </si>
  <si>
    <t>P_HP_entrant_turbine_mes</t>
  </si>
  <si>
    <t>515APG10.PI-153</t>
  </si>
  <si>
    <t>N_turb_mes</t>
  </si>
  <si>
    <t>515APG10.SE-288</t>
  </si>
  <si>
    <t>SOUTIRAGE MP — Collecteur 12 Bar</t>
  </si>
  <si>
    <t>Q_sout_MP_mes</t>
  </si>
  <si>
    <t>Débit soutirage MP (Flange 1)</t>
  </si>
  <si>
    <t>515APG10.FI-541</t>
  </si>
  <si>
    <t>SOUTIRAGE BP — Collecteur 5 Bar</t>
  </si>
  <si>
    <t>Q_sout_LP_mes</t>
  </si>
  <si>
    <t>Débit soutirage LP (Flanges 2+3)</t>
  </si>
  <si>
    <t>515APG10.FI-104</t>
  </si>
  <si>
    <t>DÉTENTES BYPASS MP</t>
  </si>
  <si>
    <t>Q_det_MP_mes</t>
  </si>
  <si>
    <t>515APG10.FI-005</t>
  </si>
  <si>
    <t>P_det_MP_mes</t>
  </si>
  <si>
    <t>Pression détente bypass HP→MP</t>
  </si>
  <si>
    <t>515APG10.PIC-004</t>
  </si>
  <si>
    <t>T_det_MP_mes</t>
  </si>
  <si>
    <t>515APG10.TIC-003</t>
  </si>
  <si>
    <t>DÉTENTES BYPASS BP</t>
  </si>
  <si>
    <t>P_det_BP_mes</t>
  </si>
  <si>
    <t>Pression détente HP→BP</t>
  </si>
  <si>
    <t>515APG10.PI-032</t>
  </si>
  <si>
    <t>T_det_BP_mes</t>
  </si>
  <si>
    <t>515APG10.TIC-023</t>
  </si>
  <si>
    <t>P_det_MP_BP</t>
  </si>
  <si>
    <t>Pression détente MP→BP</t>
  </si>
  <si>
    <t>515APG10.PIC-044</t>
  </si>
  <si>
    <t>Q_HRS_BP_mes</t>
  </si>
  <si>
    <t>Débit BP entrant depuis HRS</t>
  </si>
  <si>
    <t>515APG10.FI370</t>
  </si>
  <si>
    <t>CONDENSEUR</t>
  </si>
  <si>
    <t>P_cond_mes</t>
  </si>
  <si>
    <t>Pression condenseur</t>
  </si>
  <si>
    <t>515APG10.PI-252</t>
  </si>
  <si>
    <t>T_cond_mes</t>
  </si>
  <si>
    <t>Température condenseur</t>
  </si>
  <si>
    <t>515APG10.TI-170</t>
  </si>
  <si>
    <t>VANNES — Pourcentage d'ouverture</t>
  </si>
  <si>
    <t>%_P_MP_bypass</t>
  </si>
  <si>
    <t>515APG10.PV-004</t>
  </si>
  <si>
    <t>%_P_MP_soutiree</t>
  </si>
  <si>
    <t>515APG10.PV-548</t>
  </si>
  <si>
    <t>%_P_BP_bypass</t>
  </si>
  <si>
    <t>515APG10.PV-024</t>
  </si>
  <si>
    <t>%_P_BP_soutiree</t>
  </si>
  <si>
    <t>515APG10.PV-551B</t>
  </si>
  <si>
    <t>%_P_BP_bypass_MP_BP</t>
  </si>
  <si>
    <t>Vanne bypass MP→BP (PV044)</t>
  </si>
  <si>
    <t>515APG10.PV044</t>
  </si>
  <si>
    <t>%_Dessurchauffe_MP_bypass</t>
  </si>
  <si>
    <t>515APG10.TV-003</t>
  </si>
  <si>
    <t>%_Dessurchauffe_MP_soutiree</t>
  </si>
  <si>
    <t>515APG10.TV-083</t>
  </si>
  <si>
    <t>%_Dessurchauffe_BP_bypass</t>
  </si>
  <si>
    <t>515APG10.TV-023</t>
  </si>
  <si>
    <t>SYSTÈME D'ARROSAGE</t>
  </si>
  <si>
    <t>Q_MP_bypass_mes</t>
  </si>
  <si>
    <t>Débit arrosage bypass MP</t>
  </si>
  <si>
    <t>515APG10.FI-001</t>
  </si>
  <si>
    <t>Q_BP_bypass_mes</t>
  </si>
  <si>
    <t>Débit arrosage bypass BP</t>
  </si>
  <si>
    <t>515APG10.FI021</t>
  </si>
  <si>
    <t>Q_MP_soutiree_mes</t>
  </si>
  <si>
    <t>Débit arrosage MP soutirée</t>
  </si>
  <si>
    <t>515APG10.FI-081</t>
  </si>
  <si>
    <t>CONSOMMATEURS</t>
  </si>
  <si>
    <t>Q_DAP_MP</t>
  </si>
  <si>
    <t>Débit DAP MP</t>
  </si>
  <si>
    <t>515APG10.FI-066</t>
  </si>
  <si>
    <t>P_DAP_MP</t>
  </si>
  <si>
    <t>Pression DAP MP</t>
  </si>
  <si>
    <t>515APG10.PI-065</t>
  </si>
  <si>
    <t>T_DAP_MP</t>
  </si>
  <si>
    <t>Température DAP MP</t>
  </si>
  <si>
    <t>515APG10.TIC-063</t>
  </si>
  <si>
    <t>Q_JPH_reception_MP</t>
  </si>
  <si>
    <t>515APG10.FI-043A</t>
  </si>
  <si>
    <t>Q_JPH_transfert_MP</t>
  </si>
  <si>
    <t>515APG10.FI-043B</t>
  </si>
  <si>
    <t>P_JPH_MP</t>
  </si>
  <si>
    <t>Pression vapeur JPH MP</t>
  </si>
  <si>
    <t>515APG10.PI-041</t>
  </si>
  <si>
    <t>T_JPH_MP</t>
  </si>
  <si>
    <t>Température JPH MP</t>
  </si>
  <si>
    <t>515APG10.TI-042</t>
  </si>
  <si>
    <t>Q_CAP_BP</t>
  </si>
  <si>
    <t>Débit vapeur BP CAP</t>
  </si>
  <si>
    <t>P_CAP_BP</t>
  </si>
  <si>
    <t>Pression vapeur BP CAP</t>
  </si>
  <si>
    <t>515APG10.PI-106</t>
  </si>
  <si>
    <t>T_CAP_BP</t>
  </si>
  <si>
    <t>Température vapeur BP CAP</t>
  </si>
  <si>
    <t>515APG10.TIC-103</t>
  </si>
  <si>
    <t>%_Vanne_ATM1</t>
  </si>
  <si>
    <t>Vanne sécurité ATM 1</t>
  </si>
  <si>
    <t>515APG10.PIC-128A</t>
  </si>
  <si>
    <t>%_Vanne_ATM2</t>
  </si>
  <si>
    <t>Vanne sécurité ATM 2</t>
  </si>
  <si>
    <t>515APG10.PIC-128B</t>
  </si>
  <si>
    <t>DIAGNOSTIC AUTOMATIQUE — Comparaison Nominal vs Mesuré  |  Alertes &amp; Solutions</t>
  </si>
  <si>
    <t>✅ OK : |Écart| &lt; 5%     |     ⚠️ WARNING : 5% ≤ |Écart| &lt; 10%     |     🔴 CRITIQUE : |Écart| ≥ 10%     |     Écart(%) = (Mesuré − Nominal) / |Nominal| × 100</t>
  </si>
  <si>
    <t>Paramètre</t>
  </si>
  <si>
    <t>Nominal</t>
  </si>
  <si>
    <t>Mesuré</t>
  </si>
  <si>
    <t>Écart (%)</t>
  </si>
  <si>
    <t>Statut</t>
  </si>
  <si>
    <t>Cause probable</t>
  </si>
  <si>
    <t>Solution recommandée</t>
  </si>
  <si>
    <t>Chute de pression HP amont — fuite sur ligne principale ou problème production SAP (acide sulfurique)</t>
  </si>
  <si>
    <t>1) Inspection tuyauterie ligne HP  2) Check vanne HV-007  3) Coordination avec unité sulfurique  4) Recalibrage capteur PIC-328</t>
  </si>
  <si>
    <t>Désurchauffe excessive (TV-003/TV-023 trop ouverts) ou anomalie chaudière de récupération amont</t>
  </si>
  <si>
    <t>1) Contrôler consigne désurchauffeur TV-003 et TV-023  2) Vérifier chaudière amont  3) Inspecter isolation ligne HP  4) Recalibrer TIC-327</t>
  </si>
  <si>
    <t>Cadence SAP réduite volontairement — ou fuite sur collecteur HP principal avant entrée centrale</t>
  </si>
  <si>
    <t>1) Vérifier cadence SAP (objectif 100%)  2) Inspection collecteur HP  3) Recalibrer débitmètre FI-203  4) Vérifier vannes amont</t>
  </si>
  <si>
    <t>Puissance électrique (MW)</t>
  </si>
  <si>
    <t>Dégradation interne turbine (erosion aubes, fuites joints) — rendement génératrice réduit — ou bypass vapeur excessif court-circuitant la turbine</t>
  </si>
  <si>
    <t>1) Inspection turbine GE (contrôle étanchéité étages)  2) Mesurer η génératrice  3) Réduire bypass HP→MP et HP→BP  4) Maximiser débit turbine x1  5) Planifier arrêt maintenance GE</t>
  </si>
  <si>
    <t>Débit HP entrant turbine</t>
  </si>
  <si>
    <t>Vanne d'admission turbine HV-012 défaillante, encrassée ou sous-dimensionnée — ou mesure faussée par débitmètre FI-151</t>
  </si>
  <si>
    <t>1) Vérification vanne HV-012 (nettoyage + recalibrage)  2) Recalibrer débitmètre FI-151  3) Comparer avec Q_HP_mes (FI-203) pour détecter écart</t>
  </si>
  <si>
    <t>T° vapeur HP entrée turbine</t>
  </si>
  <si>
    <t>Perte thermique entre collecteur HP et entrée turbine — désurchauffe non voulue — ou thermocouple TI-154 défaillant</t>
  </si>
  <si>
    <t>1) Vérifier isolation thermique ligne HP entre collecteur et turbine  2) Recalibrer thermocouple TI-154  3) Comparer T_HP_mes (TIC-327) vs T_HP_entrant_turbine_mes</t>
  </si>
  <si>
    <t>P vapeur HP entrée turbine</t>
  </si>
  <si>
    <t>Chute de pression localisée avant turbine — colmatage filtre admission, fuite interne, ou capteur PI-153 mal étalonné</t>
  </si>
  <si>
    <t>1) Inspecter filtre admission turbine (nettoyage si colmaté)  2) Recalibrer capteur PI-153  3) Comparer P_HP_mes (PIC-328) vs P_HP_entrant_turbine pour localiser la chute</t>
  </si>
  <si>
    <t>Vitesse rotation turbine (RPM)</t>
  </si>
  <si>
    <t>Régulateur de vitesse GE défaillant — surcharge ou sous-charge électrique réseau — ou capteur de vitesse SE-288 défaillant</t>
  </si>
  <si>
    <t>1) Vérifier régulateur de vitesse GE (setpoint 3000 RPM)  2) Contrôler charge réseau électrique  3) Recalibrer capteur vitesse SE-288  4) Appeler technicien GE si persistant</t>
  </si>
  <si>
    <t>Vanne soutirage MP (PV-004 côté turbine) mal réglée, bloquée ou défaillante — ou demande client MP (JBH/DAP) anormale</t>
  </si>
  <si>
    <t>1) Recalibrer vanne PV-004 soutirage MP  2) Vérifier demande réelle clients MP (JBH + DAP + éjecteur)  3) Recalibrer débitmètre FI-541  4) Vérifier pression collecteur MP (cible 12 Bar)</t>
  </si>
  <si>
    <t>Vanne soutirage LP (PV-024 côté turbine) mal réglée — ou demande clients BP (J+K+L+CAP+DAP) anormale</t>
  </si>
  <si>
    <t>1) Recalibrer vanne PV-024 soutirage LP  2) Vérifier demande réelle clients BP (total max 123 T/h)  3) Recalibrer débitmètre FI-104  4) Vérifier pression collecteur BP (cible 5 Bar)</t>
  </si>
  <si>
    <t>Débit bypass HP→MP</t>
  </si>
  <si>
    <t>Vanne bypass HP→MP (PV-004) ouverte alors qu'elle devrait être fermée → PERTE ÉNERGÉTIQUE DIRECTE (vapeur détendue sans produire de travail)</t>
  </si>
  <si>
    <t>1) Vérifier si clients MP sont satisfaits par soutirage turbine seul  2) Fermer PV-004 bypass si possible  3) Si nécessaire : optimiser x2 au minimum requis  4) Inspecter vanne PV-004 (fuite interne ?)</t>
  </si>
  <si>
    <t>Régulateur de pression PIC-004 mal étalonné ou défaillant — la détente n'atteint pas la pression cible 12 Bar collecteur MP</t>
  </si>
  <si>
    <t>1) Recalibrer transmetteur PIC-004  2) Vérifier consigne régulateur (cible 12 Bar en sortie)  3) Inspecter vanne PV-004 (jeu, usure)  4) Vérifier désurchauffe TV-003 associée</t>
  </si>
  <si>
    <t>T° détente bypass HP→MP</t>
  </si>
  <si>
    <t>Désurchauffe bypass MP (TV-003) insuffisante → T° sortie trop haute pour réseau MP (cible 270°C) — risque client</t>
  </si>
  <si>
    <t>1) Augmenter ouverture désurchauffeur TV-003  2) Cible : T° collecteur MP = 270°C  3) Recalibrer TIC-003  4) Vérifier débit eau d'arrosage FI-001</t>
  </si>
  <si>
    <t>Capteur pression PI-032 mal étalonné — ou la détente HP→BP n'atteint pas 5 Bar cible réseau BP</t>
  </si>
  <si>
    <t>1) Recalibrer capteur PI-032  2) Vérifier consigne régulateur bypass BP (cible 5 Bar)  3) Inspecter vanne PV-024 bypass BP</t>
  </si>
  <si>
    <t>T° détente bypass HP→BP</t>
  </si>
  <si>
    <t>Désurchauffe bypass BP (TV-023) insuffisante → T° sortie trop haute pour réseau BP (cible 190°C) — risque brûlure équipements clients</t>
  </si>
  <si>
    <t>1) Augmenter ouverture désurchauffeur TV-023  2) Cible : T° collecteur BP = 190°C  3) Recalibrer TIC-023  4) Vérifier débit eau d'arrosage FI021</t>
  </si>
  <si>
    <t>Régulateur PIC-044 défaillant ou vanne PV044 bloquée — pression MP→BP non régulée correctement</t>
  </si>
  <si>
    <t>1) Recalibrer PIC-044  2) Vérifier état vanne PV044  3) Comparer P collecteur MP vs P entrée PV044</t>
  </si>
  <si>
    <t>Anomalie apport vapeur HRS (Heat Recovery Steam) — production anormale ou arrêt HRS imprévu</t>
  </si>
  <si>
    <t>1) Vérifier état opérationnel HRS  2) Recalibrer débitmètre FI370  3) Si HRS arrêté : ajuster compensation depuis soutirage BP turbine</t>
  </si>
  <si>
    <t>Perte de vide condenseur : fuite d'air dans le circuit, pompes à vide défaillantes, ou gaz incondensables accumulés</t>
  </si>
  <si>
    <t>1) Vérifier étanchéité condenseur (test hélium)  2) Contrôler pompes à vide (débit, pression)  3) Purger gaz incondensables  4) Recalibrer capteur PI-252  5) Impact direct : η turbine chute → PRIORITÉ</t>
  </si>
  <si>
    <t>Eau de refroidissement trop chaude (tour de refroidissement défaillante) — débit insuffisant — ou encrassement faisceaux condenseur (entartrage/biofilm)</t>
  </si>
  <si>
    <t>1) Vérifier circuit eau refroidissement + tour  2) Contrôler débit eau froide (cible nominal)  3) Curage chimique faisceaux condenseur si ΔT anormal  4) Recalibrer TI-170</t>
  </si>
  <si>
    <t>Vanne bypass HP→MP ouverte (PV-004)</t>
  </si>
  <si>
    <t>Bypass MP ouvert inutilement → vapeur HP détendue sans travail = PERTE DIRECTE. Nominal = 0% (fermée). Toute ouverture = perte énergétique</t>
  </si>
  <si>
    <t>1) Vérifier si clients MP satisfaits par soutirage turbine  2) Fermer PV-004 si possible (objectif = 0%)  3) Si ouverture nécessaire : réduire au minimum  4) Vérifier étanchéité vanne (fuite interne ?)</t>
  </si>
  <si>
    <t>Vanne pression MP (PV-548)</t>
  </si>
  <si>
    <t>Vanne PV-548 fermée partiellement → risque sous-alimentation réseau MP — ou surconsommation si &gt;100%</t>
  </si>
  <si>
    <t>1) Vérifier consigne régulateur PV-548 (nominal = 100%)  2) Inspecter vanne (blocage mécanique ?)  3) Vérifier pression aval collecteur MP</t>
  </si>
  <si>
    <t>Vanne bypass HP→BP ouverte (PV-024)</t>
  </si>
  <si>
    <t>Bypass BP ouvert inutilement → vapeur HP détendue sans travail = PERTE DIRECTE. Nominal = 0% (fermée). Toute ouverture = perte énergétique</t>
  </si>
  <si>
    <t>1) Vérifier si clients BP satisfaits par soutirage turbine  2) Fermer PV-024 si possible (objectif = 0%)  3) Si nécessaire : réduire au minimum  4) Vérifier étanchéité vanne</t>
  </si>
  <si>
    <t>Vanne pression BP (PV-551B)</t>
  </si>
  <si>
    <t>Vanne PV-551B partiellement fermée → sous-alimentation réseau BP potentielle</t>
  </si>
  <si>
    <t>1) Vérifier consigne PV-551B (nominal = 100%)  2) Inspecter vanne  3) Contrôler pression collecteur BP (cible 5 Bar)</t>
  </si>
  <si>
    <t>Bypass MP→BP ouvert → vapeur MP détendue vers BP sans nécessité = perte de pression inutile</t>
  </si>
  <si>
    <t>1) Vérifier si BP peut être alimenté par soutirage turbine seul  2) Fermer PV044 si possible  3) Recalibrer régulateur associé</t>
  </si>
  <si>
    <t>Arrosage bypass MP (TV-003)</t>
  </si>
  <si>
    <t>Vanne arrosage TV-003 ouverte alors que bypass MP est fermé → injection eau inutile, risque coup d'eau</t>
  </si>
  <si>
    <t>1) Fermer TV-003 si PV-004 bypass fermé  2) Si bypass ouvert : ajuster TV-003 pour T° cible 270°C  3) Vérifier capteur TIC-003</t>
  </si>
  <si>
    <t>Arrosage soutirée MP (TV-083)</t>
  </si>
  <si>
    <t>Vanne arrosage TV-083 ouverte anormalement → injection eau non nécessaire dans soutirage MP</t>
  </si>
  <si>
    <t>1) Vérifier T° collecteur MP (cible 270°C)  2) Ajuster consigne TV-083  3) Recalibrer TIC associé</t>
  </si>
  <si>
    <t>Arrosage bypass BP (TV-023)</t>
  </si>
  <si>
    <t>Vanne arrosage TV-023 ouverte alors que bypass BP fermé → injection eau inutile, risque coup d'eau turbine</t>
  </si>
  <si>
    <t>1) Fermer TV-023 si PV-024 bypass fermé  2) Si bypass ouvert : ajuster pour T° cible 190°C  3) Vérifier capteur TIC-023</t>
  </si>
  <si>
    <t>Débit arrosage bypass MP anormal → indique que vanne PV-004 bypass est ouverte avec désurchauffe active</t>
  </si>
  <si>
    <t>1) Vérifier si bypass MP (PV-004) est ouvert  2) Si oui : ajuster TV-003 pour T° cible 270°C  3) Si non : inspecter vanne TV-003 (fuite interne)  4) Recalibrer FI-001</t>
  </si>
  <si>
    <t>Débit arrosage bypass BP anormal → indique que vanne PV-024 bypass est ouverte avec désurchauffe active</t>
  </si>
  <si>
    <t>1) Vérifier si bypass BP (PV-024) est ouvert  2) Si oui : ajuster TV-023 pour T° cible 190°C  3) Si non : inspecter TV-023 (fuite)  4) Recalibrer FI021</t>
  </si>
  <si>
    <t>Désurchauffe soutirage MP active anormalement → T° soutirage MP trop haute — risque client</t>
  </si>
  <si>
    <t>1) Vérifier T° soutirage MP (cible 270°C max)  2) Ajuster TV-083  3) Recalibrer FI-081</t>
  </si>
  <si>
    <t>Consommation DAP côté MP anormale — vanne alimentation mal réglée ou équipement DAP défaillant</t>
  </si>
  <si>
    <t>1) Vérifier état DAP MP (démarrage/arrêt ?)  2) Recalibrer vanne alimentation DAP MP  3) Recalibrer FI-066  4) DAP est consommateur fixe = 3 T/h nominal</t>
  </si>
  <si>
    <t>Pression MP au DAP anormale → chute pression réseau MP ou régulateur DAP défaillant</t>
  </si>
  <si>
    <t>1) Vérifier pression collecteur MP (cible 12 Bar)  2) Inspecter régulateur pression DAP  3) Recalibrer PI-065</t>
  </si>
  <si>
    <t>Température MP au DAP hors gamme → désurchauffe insuffisante ou excessive en amont</t>
  </si>
  <si>
    <t>1) Vérifier T° collecteur MP (cible 270°C)  2) Ajuster désurchauffe si nécessaire  3) Recalibrer TIC-063</t>
  </si>
  <si>
    <t>Débit réception JPH MP</t>
  </si>
  <si>
    <t>Débit réception JPH MP anormal → alimentation JPH hors nominal (arrêt ou démarrage JPH)</t>
  </si>
  <si>
    <t>1) Vérifier état opérationnel JPH  2) Recalibrer FI-043A  3) Coordonner avec opérateur JPH</t>
  </si>
  <si>
    <t>Débit transfert JPH MP</t>
  </si>
  <si>
    <t>Débit transfert JPH MP anormal → transfert hors nominal</t>
  </si>
  <si>
    <t>1) Vérifier état JPH  2) Recalibrer FI-043B  3) Comparer réception vs transfert (FI-043A vs FI-043B)</t>
  </si>
  <si>
    <t>Pression JPH MP hors cible → régulateur JPH mal réglé ou fuite sur ligne JPH</t>
  </si>
  <si>
    <t>1) Vérifier régulateur pression JPH  2) Inspecter ligne vapeur JPH  3) Recalibrer PI-041</t>
  </si>
  <si>
    <t>Température JPH MP hors gamme → risque équipement JPH si trop chaude</t>
  </si>
  <si>
    <t>1) Vérifier T° entrée JPH (cible 270°C)  2) Ajuster désurchauffe si T° trop haute  3) Recalibrer TI-042</t>
  </si>
  <si>
    <t>Consommation CAP BP anormale — arrêt ou démarrage CAP, ou vanne alimentation défaillante</t>
  </si>
  <si>
    <t>1) Vérifier état opérationnel CAP  2) Recalibrer vanne alimentation BP CAP  3) Recalibrer FI-104</t>
  </si>
  <si>
    <t>Pression BP au CAP hors cible → chute réseau BP ou régulateur CAP défaillant</t>
  </si>
  <si>
    <t>1) Vérifier pression collecteur BP (cible 5 Bar)  2) Inspecter régulateur pression CAP  3) Recalibrer PI-106</t>
  </si>
  <si>
    <t>Température BP au CAP hors gamme (cible 190°C) → risque équipement si trop chaude</t>
  </si>
  <si>
    <t>1) Vérifier T° collecteur BP (cible 190°C)  2) Ajuster désurchauffe BP si nécessaire  3) Recalibrer TIC-103</t>
  </si>
  <si>
    <t>VANNES DE SÉCURITÉ ATM — PRIORITÉ ABSOLUE</t>
  </si>
  <si>
    <t>🚨 ALARME CRITIQUE : Vanne ATM1 ouverte → surpression réseau vapeur OU fuite de vapeur vers atmosphère. Toute ouverture &gt; 0% est anormale en régime nominal</t>
  </si>
  <si>
    <t>⚠️ URGENT : 1) Identifier immédiatement la source de surpression  2) Intervention maintenance prioritaire  3) Vérifier pression réseau HP/MP/BP  4) Ne pas ignorer — risque sécurité personnel</t>
  </si>
  <si>
    <t>🚨 ALARME CRITIQUE : Vanne ATM2 ouverte → surpression réseau vapeur OU fuite de vapeur vers atmosphère. Toute ouverture &gt; 0% est anormale en régime nominal</t>
  </si>
  <si>
    <t>DIAGNOSTIC &amp; SOLUTIONS  —  Comparaison Nominal vs Mesuré  |  Alertes &amp; Recommandations</t>
  </si>
  <si>
    <t>Seuils d'alerte</t>
  </si>
  <si>
    <t>Seuil écart</t>
  </si>
  <si>
    <t>—</t>
  </si>
  <si>
    <t>Signification</t>
  </si>
  <si>
    <t>Action</t>
  </si>
  <si>
    <t>✅  OK</t>
  </si>
  <si>
    <t>| Écart | &lt; 5%</t>
  </si>
  <si>
    <t>Fonctionnement normal</t>
  </si>
  <si>
    <t>Aucune action requise</t>
  </si>
  <si>
    <t>⚠️  WARNING</t>
  </si>
  <si>
    <t>5% ≤ | Écart | &lt; 10%</t>
  </si>
  <si>
    <t>Anomalie détectée</t>
  </si>
  <si>
    <t>Surveiller — planifier intervention</t>
  </si>
  <si>
    <t>🔴  CRITIQUE</t>
  </si>
  <si>
    <t>| Écart | ≥ 10%</t>
  </si>
  <si>
    <t>Perte significative</t>
  </si>
  <si>
    <t>Intervention urgente requise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</si>
</sst>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##"/>
    <numFmt numFmtId="165" formatCode="0.000"/>
    <numFmt numFmtId="166" formatCode="\+0.0%;\-0.0%;&quot; — &quot;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7F6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5C3D1E"/>
      <name val="Arial"/>
    </font>
    <font>
      <b/>
      <sz val="9"/>
      <color rgb="FF1A3A52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1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9E6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0F9FF"/>
      </patternFill>
    </fill>
    <fill>
      <patternFill patternType="solid">
        <fgColor rgb="FFEBF5FB"/>
      </patternFill>
    </fill>
    <fill>
      <patternFill patternType="solid">
        <fgColor rgb="FF7B1818"/>
      </patternFill>
    </fill>
    <fill>
      <patternFill patternType="solid">
        <fgColor rgb="FFBDD7EE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165" fontId="4" fillId="9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0" fillId="14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5"/>
  <sheetViews>
    <sheetView tabSelected="1" zoomScale="84" zoomScaleNormal="84" workbookViewId="0">
      <pane ySplit="3" topLeftCell="A55" activePane="bottomLeft" state="frozen"/>
      <selection pane="bottomLeft" activeCell="C64" sqref="C64"/>
    </sheetView>
  </sheetViews>
  <sheetFormatPr baseColWidth="10" defaultColWidth="8.7265625" defaultRowHeight="14.5" x14ac:dyDescent="0.35"/>
  <cols>
    <col min="1" max="1" width="5" customWidth="1"/>
    <col min="2" max="2" width="26" customWidth="1"/>
    <col min="3" max="3" width="36" customWidth="1"/>
    <col min="4" max="4" width="22" customWidth="1"/>
    <col min="5" max="5" width="14" customWidth="1"/>
    <col min="6" max="7" width="12" customWidth="1"/>
    <col min="8" max="8" width="13" customWidth="1"/>
    <col min="9" max="9" width="42" customWidth="1"/>
    <col min="10" max="10" width="46" customWidth="1"/>
  </cols>
  <sheetData>
    <row r="1" spans="1:10" ht="38" customHeight="1" x14ac:dyDescent="0.35">
      <c r="A1" s="19" t="s">
        <v>121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35">
      <c r="A2" s="20" t="s">
        <v>122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26" customHeight="1" x14ac:dyDescent="0.35">
      <c r="A3" s="1" t="s">
        <v>0</v>
      </c>
      <c r="B3" s="1" t="s">
        <v>123</v>
      </c>
      <c r="C3" s="1" t="s">
        <v>1</v>
      </c>
      <c r="D3" s="1" t="s">
        <v>2</v>
      </c>
      <c r="E3" s="1" t="s">
        <v>124</v>
      </c>
      <c r="F3" s="1" t="s">
        <v>125</v>
      </c>
      <c r="G3" s="1" t="s">
        <v>126</v>
      </c>
      <c r="H3" s="1" t="s">
        <v>127</v>
      </c>
      <c r="I3" s="1" t="s">
        <v>128</v>
      </c>
      <c r="J3" s="1" t="s">
        <v>129</v>
      </c>
    </row>
    <row r="4" spans="1:10" ht="20" customHeight="1" x14ac:dyDescent="0.35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spans="1:10" ht="55" customHeight="1" x14ac:dyDescent="0.35">
      <c r="A5" s="2">
        <v>1</v>
      </c>
      <c r="B5" s="3" t="s">
        <v>4</v>
      </c>
      <c r="C5" s="3" t="s">
        <v>5</v>
      </c>
      <c r="D5" s="3" t="s">
        <v>6</v>
      </c>
      <c r="E5" s="4">
        <v>57</v>
      </c>
      <c r="F5" s="8"/>
      <c r="G5" s="9" t="str">
        <f>IF(OR(F5="",F5=0,E5=0),"",(F5-E5)/ABS(E5)*100)</f>
        <v/>
      </c>
      <c r="H5" s="10" t="str">
        <f>IF(G5="","Saisir mesure →",IF(ABS(G5)&lt;5,"✅ OK",IF(ABS(G5)&lt;10,"⚠️ WARNING","🔴 CRITIQUE")))</f>
        <v>Saisir mesure →</v>
      </c>
      <c r="I5" s="11" t="s">
        <v>130</v>
      </c>
      <c r="J5" s="12" t="s">
        <v>131</v>
      </c>
    </row>
    <row r="6" spans="1:10" ht="55" customHeight="1" x14ac:dyDescent="0.35">
      <c r="A6" s="5">
        <v>2</v>
      </c>
      <c r="B6" s="6" t="s">
        <v>7</v>
      </c>
      <c r="C6" s="6" t="s">
        <v>8</v>
      </c>
      <c r="D6" s="6" t="s">
        <v>9</v>
      </c>
      <c r="E6" s="4">
        <v>470</v>
      </c>
      <c r="F6" s="8"/>
      <c r="G6" s="9" t="str">
        <f>IF(OR(F6="",F6=0,E6=0),"",(F6-E6)/ABS(E6)*100)</f>
        <v/>
      </c>
      <c r="H6" s="13" t="str">
        <f>IF(G6="","Saisir mesure →",IF(ABS(G6)&lt;5,"✅ OK",IF(ABS(G6)&lt;10,"⚠️ WARNING","🔴 CRITIQUE")))</f>
        <v>Saisir mesure →</v>
      </c>
      <c r="I6" s="14" t="s">
        <v>132</v>
      </c>
      <c r="J6" s="15" t="s">
        <v>133</v>
      </c>
    </row>
    <row r="7" spans="1:10" ht="55" customHeight="1" x14ac:dyDescent="0.35">
      <c r="A7" s="2">
        <v>3</v>
      </c>
      <c r="B7" s="3" t="s">
        <v>10</v>
      </c>
      <c r="C7" s="3" t="s">
        <v>11</v>
      </c>
      <c r="D7" s="3" t="s">
        <v>12</v>
      </c>
      <c r="E7" s="4">
        <v>217</v>
      </c>
      <c r="F7" s="8"/>
      <c r="G7" s="9" t="str">
        <f>IF(OR(F7="",F7=0,E7=0),"",(F7-E7)/ABS(E7)*100)</f>
        <v/>
      </c>
      <c r="H7" s="10" t="str">
        <f>IF(G7="","Saisir mesure →",IF(ABS(G7)&lt;5,"✅ OK",IF(ABS(G7)&lt;10,"⚠️ WARNING","🔴 CRITIQUE")))</f>
        <v>Saisir mesure →</v>
      </c>
      <c r="I7" s="11" t="s">
        <v>134</v>
      </c>
      <c r="J7" s="12" t="s">
        <v>135</v>
      </c>
    </row>
    <row r="8" spans="1:10" ht="20" customHeight="1" x14ac:dyDescent="0.35">
      <c r="A8" s="17" t="s">
        <v>13</v>
      </c>
      <c r="B8" s="18"/>
      <c r="C8" s="18"/>
      <c r="D8" s="18"/>
      <c r="E8" s="18"/>
      <c r="F8" s="18"/>
      <c r="G8" s="18"/>
      <c r="H8" s="18"/>
      <c r="I8" s="18"/>
      <c r="J8" s="18"/>
    </row>
    <row r="9" spans="1:10" ht="55" customHeight="1" x14ac:dyDescent="0.35">
      <c r="A9" s="2">
        <v>4</v>
      </c>
      <c r="B9" s="3" t="s">
        <v>14</v>
      </c>
      <c r="C9" s="3" t="s">
        <v>136</v>
      </c>
      <c r="D9" s="3" t="s">
        <v>15</v>
      </c>
      <c r="E9" s="4">
        <v>53.445999999999998</v>
      </c>
      <c r="F9" s="8" t="e">
        <f>#REF!</f>
        <v>#REF!</v>
      </c>
      <c r="G9" s="9" t="e">
        <f>IF(OR(F9="",F9=0,E9=0),"",(F9-E9)/ABS(E9)*100)</f>
        <v>#REF!</v>
      </c>
      <c r="H9" s="10" t="e">
        <f>IF(G9="","Saisir mesure →",IF(ABS(G9)&lt;5,"✅ OK",IF(ABS(G9)&lt;10,"⚠️ WARNING","🔴 CRITIQUE")))</f>
        <v>#REF!</v>
      </c>
      <c r="I9" s="11" t="s">
        <v>137</v>
      </c>
      <c r="J9" s="12" t="s">
        <v>138</v>
      </c>
    </row>
    <row r="10" spans="1:10" ht="55" customHeight="1" x14ac:dyDescent="0.35">
      <c r="A10" s="5">
        <v>5</v>
      </c>
      <c r="B10" s="6" t="s">
        <v>16</v>
      </c>
      <c r="C10" s="6" t="s">
        <v>139</v>
      </c>
      <c r="D10" s="6" t="s">
        <v>17</v>
      </c>
      <c r="E10" s="4"/>
      <c r="F10" s="8" t="e">
        <f>#REF!</f>
        <v>#REF!</v>
      </c>
      <c r="G10" s="9" t="e">
        <f>IF(OR(F10="",F10=0,E10=0),"",(F10-E10)/ABS(E10)*100)</f>
        <v>#REF!</v>
      </c>
      <c r="H10" s="13" t="e">
        <f>IF(G10="","Saisir mesure →",IF(ABS(G10)&lt;5,"✅ OK",IF(ABS(G10)&lt;10,"⚠️ WARNING","🔴 CRITIQUE")))</f>
        <v>#REF!</v>
      </c>
      <c r="I10" s="14" t="s">
        <v>140</v>
      </c>
      <c r="J10" s="15" t="s">
        <v>141</v>
      </c>
    </row>
    <row r="11" spans="1:10" ht="55" customHeight="1" x14ac:dyDescent="0.35">
      <c r="A11" s="2">
        <v>6</v>
      </c>
      <c r="B11" s="3" t="s">
        <v>18</v>
      </c>
      <c r="C11" s="3" t="s">
        <v>142</v>
      </c>
      <c r="D11" s="3" t="s">
        <v>19</v>
      </c>
      <c r="E11" s="4"/>
      <c r="F11" s="8" t="e">
        <f>#REF!</f>
        <v>#REF!</v>
      </c>
      <c r="G11" s="9" t="e">
        <f>IF(OR(F11="",F11=0,E11=0),"",(F11-E11)/ABS(E11)*100)</f>
        <v>#REF!</v>
      </c>
      <c r="H11" s="10" t="e">
        <f>IF(G11="","Saisir mesure →",IF(ABS(G11)&lt;5,"✅ OK",IF(ABS(G11)&lt;10,"⚠️ WARNING","🔴 CRITIQUE")))</f>
        <v>#REF!</v>
      </c>
      <c r="I11" s="11" t="s">
        <v>143</v>
      </c>
      <c r="J11" s="12" t="s">
        <v>144</v>
      </c>
    </row>
    <row r="12" spans="1:10" ht="55" customHeight="1" x14ac:dyDescent="0.35">
      <c r="A12" s="5">
        <v>7</v>
      </c>
      <c r="B12" s="6" t="s">
        <v>20</v>
      </c>
      <c r="C12" s="6" t="s">
        <v>145</v>
      </c>
      <c r="D12" s="6" t="s">
        <v>21</v>
      </c>
      <c r="E12" s="4">
        <v>57</v>
      </c>
      <c r="F12" s="8" t="e">
        <f>#REF!</f>
        <v>#REF!</v>
      </c>
      <c r="G12" s="9" t="e">
        <f>IF(OR(F12="",F12=0,E12=0),"",(F12-E12)/ABS(E12)*100)</f>
        <v>#REF!</v>
      </c>
      <c r="H12" s="13" t="e">
        <f>IF(G12="","Saisir mesure →",IF(ABS(G12)&lt;5,"✅ OK",IF(ABS(G12)&lt;10,"⚠️ WARNING","🔴 CRITIQUE")))</f>
        <v>#REF!</v>
      </c>
      <c r="I12" s="14" t="s">
        <v>146</v>
      </c>
      <c r="J12" s="15" t="s">
        <v>147</v>
      </c>
    </row>
    <row r="13" spans="1:10" ht="55" customHeight="1" x14ac:dyDescent="0.35">
      <c r="A13" s="2">
        <v>8</v>
      </c>
      <c r="B13" s="3" t="s">
        <v>22</v>
      </c>
      <c r="C13" s="3" t="s">
        <v>148</v>
      </c>
      <c r="D13" s="3" t="s">
        <v>23</v>
      </c>
      <c r="E13" s="4">
        <v>3000</v>
      </c>
      <c r="F13" s="8" t="e">
        <f>#REF!</f>
        <v>#REF!</v>
      </c>
      <c r="G13" s="9" t="e">
        <f>IF(OR(F13="",F13=0,E13=0),"",(F13-E13)/ABS(E13)*100)</f>
        <v>#REF!</v>
      </c>
      <c r="H13" s="10" t="e">
        <f>IF(G13="","Saisir mesure →",IF(ABS(G13)&lt;5,"✅ OK",IF(ABS(G13)&lt;10,"⚠️ WARNING","🔴 CRITIQUE")))</f>
        <v>#REF!</v>
      </c>
      <c r="I13" s="11" t="s">
        <v>149</v>
      </c>
      <c r="J13" s="12" t="s">
        <v>150</v>
      </c>
    </row>
    <row r="14" spans="1:10" ht="20" customHeight="1" x14ac:dyDescent="0.35">
      <c r="A14" s="17" t="s">
        <v>24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ht="55" customHeight="1" x14ac:dyDescent="0.35">
      <c r="A15" s="2">
        <v>10</v>
      </c>
      <c r="B15" s="3" t="s">
        <v>25</v>
      </c>
      <c r="C15" s="3" t="s">
        <v>26</v>
      </c>
      <c r="D15" s="3" t="s">
        <v>27</v>
      </c>
      <c r="E15" s="4">
        <v>12</v>
      </c>
      <c r="F15" s="8" t="e">
        <f>#REF!</f>
        <v>#REF!</v>
      </c>
      <c r="G15" s="9" t="e">
        <f>IF(OR(F15="",F15=0,E15=0),"",(F15-E15)/ABS(E15)*100)</f>
        <v>#REF!</v>
      </c>
      <c r="H15" s="10" t="e">
        <f>IF(G15="","Saisir mesure →",IF(ABS(G15)&lt;5,"✅ OK",IF(ABS(G15)&lt;10,"⚠️ WARNING","🔴 CRITIQUE")))</f>
        <v>#REF!</v>
      </c>
      <c r="I15" s="11" t="s">
        <v>151</v>
      </c>
      <c r="J15" s="12" t="s">
        <v>152</v>
      </c>
    </row>
    <row r="16" spans="1:10" ht="20" customHeight="1" x14ac:dyDescent="0.35">
      <c r="A16" s="17" t="s">
        <v>28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55" customHeight="1" x14ac:dyDescent="0.35">
      <c r="A17" s="2">
        <v>11</v>
      </c>
      <c r="B17" s="3" t="s">
        <v>29</v>
      </c>
      <c r="C17" s="3" t="s">
        <v>30</v>
      </c>
      <c r="D17" s="3" t="s">
        <v>31</v>
      </c>
      <c r="E17" s="4">
        <v>57.4</v>
      </c>
      <c r="F17" s="8" t="e">
        <f>#REF!</f>
        <v>#REF!</v>
      </c>
      <c r="G17" s="9" t="e">
        <f>IF(OR(F17="",F17=0,E17=0),"",(F17-E17)/ABS(E17)*100)</f>
        <v>#REF!</v>
      </c>
      <c r="H17" s="10" t="e">
        <f>IF(G17="","Saisir mesure →",IF(ABS(G17)&lt;5,"✅ OK",IF(ABS(G17)&lt;10,"⚠️ WARNING","🔴 CRITIQUE")))</f>
        <v>#REF!</v>
      </c>
      <c r="I17" s="11" t="s">
        <v>153</v>
      </c>
      <c r="J17" s="12" t="s">
        <v>154</v>
      </c>
    </row>
    <row r="18" spans="1:10" ht="20" customHeight="1" x14ac:dyDescent="0.35">
      <c r="A18" s="17" t="s">
        <v>32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55" customHeight="1" x14ac:dyDescent="0.35">
      <c r="A19" s="2">
        <v>12</v>
      </c>
      <c r="B19" s="3" t="s">
        <v>33</v>
      </c>
      <c r="C19" s="3" t="s">
        <v>155</v>
      </c>
      <c r="D19" s="3" t="s">
        <v>34</v>
      </c>
      <c r="E19" s="4">
        <v>0</v>
      </c>
      <c r="F19" s="8" t="e">
        <f>#REF!</f>
        <v>#REF!</v>
      </c>
      <c r="G19" s="9" t="e">
        <f>IF(OR(F19="",F19=0,E19=0),"",(F19-E19)/ABS(E19)*100)</f>
        <v>#REF!</v>
      </c>
      <c r="H19" s="10" t="e">
        <f>IF(G19="","Saisir mesure →",IF(ABS(G19)&lt;5,"✅ OK",IF(ABS(G19)&lt;10,"⚠️ WARNING","🔴 CRITIQUE")))</f>
        <v>#REF!</v>
      </c>
      <c r="I19" s="11" t="s">
        <v>156</v>
      </c>
      <c r="J19" s="12" t="s">
        <v>157</v>
      </c>
    </row>
    <row r="20" spans="1:10" ht="55" customHeight="1" x14ac:dyDescent="0.35">
      <c r="A20" s="5">
        <v>13</v>
      </c>
      <c r="B20" s="6" t="s">
        <v>35</v>
      </c>
      <c r="C20" s="6" t="s">
        <v>36</v>
      </c>
      <c r="D20" s="6" t="s">
        <v>37</v>
      </c>
      <c r="E20" s="4">
        <v>12</v>
      </c>
      <c r="F20" s="8" t="e">
        <f>#REF!</f>
        <v>#REF!</v>
      </c>
      <c r="G20" s="9" t="e">
        <f>IF(OR(F20="",F20=0,E20=0),"",(F20-E20)/ABS(E20)*100)</f>
        <v>#REF!</v>
      </c>
      <c r="H20" s="13" t="e">
        <f>IF(G20="","Saisir mesure →",IF(ABS(G20)&lt;5,"✅ OK",IF(ABS(G20)&lt;10,"⚠️ WARNING","🔴 CRITIQUE")))</f>
        <v>#REF!</v>
      </c>
      <c r="I20" s="14" t="s">
        <v>158</v>
      </c>
      <c r="J20" s="15" t="s">
        <v>159</v>
      </c>
    </row>
    <row r="21" spans="1:10" ht="55" customHeight="1" x14ac:dyDescent="0.35">
      <c r="A21" s="2">
        <v>14</v>
      </c>
      <c r="B21" s="3" t="s">
        <v>38</v>
      </c>
      <c r="C21" s="3" t="s">
        <v>160</v>
      </c>
      <c r="D21" s="3" t="s">
        <v>39</v>
      </c>
      <c r="E21" s="4">
        <v>270</v>
      </c>
      <c r="F21" s="8" t="e">
        <f>#REF!</f>
        <v>#REF!</v>
      </c>
      <c r="G21" s="9" t="e">
        <f>IF(OR(F21="",F21=0,E21=0),"",(F21-E21)/ABS(E21)*100)</f>
        <v>#REF!</v>
      </c>
      <c r="H21" s="10" t="e">
        <f>IF(G21="","Saisir mesure →",IF(ABS(G21)&lt;5,"✅ OK",IF(ABS(G21)&lt;10,"⚠️ WARNING","🔴 CRITIQUE")))</f>
        <v>#REF!</v>
      </c>
      <c r="I21" s="11" t="s">
        <v>161</v>
      </c>
      <c r="J21" s="12" t="s">
        <v>162</v>
      </c>
    </row>
    <row r="22" spans="1:10" ht="20" customHeight="1" x14ac:dyDescent="0.35">
      <c r="A22" s="17" t="s">
        <v>40</v>
      </c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55" customHeight="1" x14ac:dyDescent="0.35">
      <c r="A23" s="2">
        <v>15</v>
      </c>
      <c r="B23" s="3" t="s">
        <v>41</v>
      </c>
      <c r="C23" s="3" t="s">
        <v>42</v>
      </c>
      <c r="D23" s="3" t="s">
        <v>43</v>
      </c>
      <c r="E23" s="4">
        <v>5</v>
      </c>
      <c r="F23" s="8"/>
      <c r="G23" s="9" t="str">
        <f>IF(OR(F23="",F23=0,E23=0),"",(F23-E23)/ABS(E23)*100)</f>
        <v/>
      </c>
      <c r="H23" s="10" t="str">
        <f>IF(G23="","Saisir mesure →",IF(ABS(G23)&lt;5,"✅ OK",IF(ABS(G23)&lt;10,"⚠️ WARNING","🔴 CRITIQUE")))</f>
        <v>Saisir mesure →</v>
      </c>
      <c r="I23" s="11" t="s">
        <v>163</v>
      </c>
      <c r="J23" s="12" t="s">
        <v>164</v>
      </c>
    </row>
    <row r="24" spans="1:10" ht="55" customHeight="1" x14ac:dyDescent="0.35">
      <c r="A24" s="5">
        <v>16</v>
      </c>
      <c r="B24" s="6" t="s">
        <v>44</v>
      </c>
      <c r="C24" s="6" t="s">
        <v>165</v>
      </c>
      <c r="D24" s="6" t="s">
        <v>45</v>
      </c>
      <c r="E24" s="4">
        <v>190</v>
      </c>
      <c r="F24" s="8"/>
      <c r="G24" s="9" t="str">
        <f>IF(OR(F24="",F24=0,E24=0),"",(F24-E24)/ABS(E24)*100)</f>
        <v/>
      </c>
      <c r="H24" s="13" t="str">
        <f>IF(G24="","Saisir mesure →",IF(ABS(G24)&lt;5,"✅ OK",IF(ABS(G24)&lt;10,"⚠️ WARNING","🔴 CRITIQUE")))</f>
        <v>Saisir mesure →</v>
      </c>
      <c r="I24" s="14" t="s">
        <v>166</v>
      </c>
      <c r="J24" s="15" t="s">
        <v>167</v>
      </c>
    </row>
    <row r="25" spans="1:10" ht="55" customHeight="1" x14ac:dyDescent="0.35">
      <c r="A25" s="2">
        <v>17</v>
      </c>
      <c r="B25" s="3" t="s">
        <v>46</v>
      </c>
      <c r="C25" s="3" t="s">
        <v>47</v>
      </c>
      <c r="D25" s="3" t="s">
        <v>48</v>
      </c>
      <c r="E25" s="4">
        <v>5</v>
      </c>
      <c r="F25" s="8"/>
      <c r="G25" s="9" t="str">
        <f>IF(OR(F25="",F25=0,E25=0),"",(F25-E25)/ABS(E25)*100)</f>
        <v/>
      </c>
      <c r="H25" s="10" t="str">
        <f>IF(G25="","Saisir mesure →",IF(ABS(G25)&lt;5,"✅ OK",IF(ABS(G25)&lt;10,"⚠️ WARNING","🔴 CRITIQUE")))</f>
        <v>Saisir mesure →</v>
      </c>
      <c r="I25" s="11" t="s">
        <v>168</v>
      </c>
      <c r="J25" s="12" t="s">
        <v>169</v>
      </c>
    </row>
    <row r="26" spans="1:10" ht="55" customHeight="1" x14ac:dyDescent="0.35">
      <c r="A26" s="5">
        <v>18</v>
      </c>
      <c r="B26" s="6" t="s">
        <v>49</v>
      </c>
      <c r="C26" s="6" t="s">
        <v>50</v>
      </c>
      <c r="D26" s="6" t="s">
        <v>51</v>
      </c>
      <c r="E26" s="4"/>
      <c r="F26" s="8"/>
      <c r="G26" s="9" t="str">
        <f>IF(OR(F26="",F26=0,E26=0),"",(F26-E26)/ABS(E26)*100)</f>
        <v/>
      </c>
      <c r="H26" s="13" t="str">
        <f>IF(G26="","Saisir mesure →",IF(ABS(G26)&lt;5,"✅ OK",IF(ABS(G26)&lt;10,"⚠️ WARNING","🔴 CRITIQUE")))</f>
        <v>Saisir mesure →</v>
      </c>
      <c r="I26" s="14" t="s">
        <v>170</v>
      </c>
      <c r="J26" s="15" t="s">
        <v>171</v>
      </c>
    </row>
    <row r="27" spans="1:10" ht="20" customHeight="1" x14ac:dyDescent="0.35">
      <c r="A27" s="17" t="s">
        <v>52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55" customHeight="1" x14ac:dyDescent="0.35">
      <c r="A28" s="5">
        <v>19</v>
      </c>
      <c r="B28" s="6" t="s">
        <v>53</v>
      </c>
      <c r="C28" s="6" t="s">
        <v>54</v>
      </c>
      <c r="D28" s="6" t="s">
        <v>55</v>
      </c>
      <c r="E28" s="7">
        <v>8.1000000000000003E-2</v>
      </c>
      <c r="F28" s="16" t="e">
        <f>#REF!</f>
        <v>#REF!</v>
      </c>
      <c r="G28" s="9" t="e">
        <f>IF(OR(F28="",F28=0,E28=0),"",(F28-E28)/ABS(E28)*100)</f>
        <v>#REF!</v>
      </c>
      <c r="H28" s="13" t="e">
        <f>IF(G28="","Saisir mesure →",IF(ABS(G28)&lt;5,"✅ OK",IF(ABS(G28)&lt;10,"⚠️ WARNING","🔴 CRITIQUE")))</f>
        <v>#REF!</v>
      </c>
      <c r="I28" s="14" t="s">
        <v>172</v>
      </c>
      <c r="J28" s="15" t="s">
        <v>173</v>
      </c>
    </row>
    <row r="29" spans="1:10" ht="55" customHeight="1" x14ac:dyDescent="0.35">
      <c r="A29" s="2">
        <v>20</v>
      </c>
      <c r="B29" s="3" t="s">
        <v>56</v>
      </c>
      <c r="C29" s="3" t="s">
        <v>57</v>
      </c>
      <c r="D29" s="3" t="s">
        <v>58</v>
      </c>
      <c r="E29" s="4">
        <v>41.8</v>
      </c>
      <c r="F29" s="8" t="e">
        <f>#REF!</f>
        <v>#REF!</v>
      </c>
      <c r="G29" s="9" t="e">
        <f>IF(OR(F29="",F29=0,E29=0),"",(F29-E29)/ABS(E29)*100)</f>
        <v>#REF!</v>
      </c>
      <c r="H29" s="10" t="e">
        <f>IF(G29="","Saisir mesure →",IF(ABS(G29)&lt;5,"✅ OK",IF(ABS(G29)&lt;10,"⚠️ WARNING","🔴 CRITIQUE")))</f>
        <v>#REF!</v>
      </c>
      <c r="I29" s="11" t="s">
        <v>174</v>
      </c>
      <c r="J29" s="12" t="s">
        <v>175</v>
      </c>
    </row>
    <row r="30" spans="1:10" ht="20" customHeight="1" x14ac:dyDescent="0.35">
      <c r="A30" s="17" t="s">
        <v>59</v>
      </c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55" customHeight="1" x14ac:dyDescent="0.35">
      <c r="A31" s="2">
        <v>21</v>
      </c>
      <c r="B31" s="3" t="s">
        <v>60</v>
      </c>
      <c r="C31" s="3" t="s">
        <v>176</v>
      </c>
      <c r="D31" s="3" t="s">
        <v>61</v>
      </c>
      <c r="E31" s="4"/>
      <c r="F31" s="8" t="e">
        <f>#REF!</f>
        <v>#REF!</v>
      </c>
      <c r="G31" s="9" t="e">
        <f t="shared" ref="G31:G38" si="0">IF(OR(F31="",F31=0,E31=0),"",(F31-E31)/ABS(E31)*100)</f>
        <v>#REF!</v>
      </c>
      <c r="H31" s="10" t="e">
        <f t="shared" ref="H31:H38" si="1">IF(G31="","Saisir mesure →",IF(ABS(G31)&lt;5,"✅ OK",IF(ABS(G31)&lt;10,"⚠️ WARNING","🔴 CRITIQUE")))</f>
        <v>#REF!</v>
      </c>
      <c r="I31" s="11" t="s">
        <v>177</v>
      </c>
      <c r="J31" s="12" t="s">
        <v>178</v>
      </c>
    </row>
    <row r="32" spans="1:10" ht="55" customHeight="1" x14ac:dyDescent="0.35">
      <c r="A32" s="5">
        <v>22</v>
      </c>
      <c r="B32" s="6" t="s">
        <v>62</v>
      </c>
      <c r="C32" s="6" t="s">
        <v>179</v>
      </c>
      <c r="D32" s="6" t="s">
        <v>63</v>
      </c>
      <c r="E32" s="4"/>
      <c r="F32" s="8" t="e">
        <f>#REF!</f>
        <v>#REF!</v>
      </c>
      <c r="G32" s="9" t="e">
        <f t="shared" si="0"/>
        <v>#REF!</v>
      </c>
      <c r="H32" s="13" t="e">
        <f t="shared" si="1"/>
        <v>#REF!</v>
      </c>
      <c r="I32" s="14" t="s">
        <v>180</v>
      </c>
      <c r="J32" s="15" t="s">
        <v>181</v>
      </c>
    </row>
    <row r="33" spans="1:10" ht="55" customHeight="1" x14ac:dyDescent="0.35">
      <c r="A33" s="2">
        <v>23</v>
      </c>
      <c r="B33" s="3" t="s">
        <v>64</v>
      </c>
      <c r="C33" s="3" t="s">
        <v>182</v>
      </c>
      <c r="D33" s="3" t="s">
        <v>65</v>
      </c>
      <c r="E33" s="4"/>
      <c r="F33" s="8"/>
      <c r="G33" s="9" t="str">
        <f t="shared" si="0"/>
        <v/>
      </c>
      <c r="H33" s="10" t="str">
        <f t="shared" si="1"/>
        <v>Saisir mesure →</v>
      </c>
      <c r="I33" s="11" t="s">
        <v>183</v>
      </c>
      <c r="J33" s="12" t="s">
        <v>184</v>
      </c>
    </row>
    <row r="34" spans="1:10" ht="55" customHeight="1" x14ac:dyDescent="0.35">
      <c r="A34" s="5">
        <v>24</v>
      </c>
      <c r="B34" s="6" t="s">
        <v>66</v>
      </c>
      <c r="C34" s="6" t="s">
        <v>185</v>
      </c>
      <c r="D34" s="6" t="s">
        <v>67</v>
      </c>
      <c r="E34" s="4"/>
      <c r="F34" s="8"/>
      <c r="G34" s="9" t="str">
        <f t="shared" si="0"/>
        <v/>
      </c>
      <c r="H34" s="13" t="str">
        <f t="shared" si="1"/>
        <v>Saisir mesure →</v>
      </c>
      <c r="I34" s="14" t="s">
        <v>186</v>
      </c>
      <c r="J34" s="15" t="s">
        <v>187</v>
      </c>
    </row>
    <row r="35" spans="1:10" ht="55" customHeight="1" x14ac:dyDescent="0.35">
      <c r="A35" s="2">
        <v>25</v>
      </c>
      <c r="B35" s="3" t="s">
        <v>68</v>
      </c>
      <c r="C35" s="3" t="s">
        <v>69</v>
      </c>
      <c r="D35" s="3" t="s">
        <v>70</v>
      </c>
      <c r="E35" s="4"/>
      <c r="F35" s="8"/>
      <c r="G35" s="9" t="str">
        <f t="shared" si="0"/>
        <v/>
      </c>
      <c r="H35" s="10" t="str">
        <f t="shared" si="1"/>
        <v>Saisir mesure →</v>
      </c>
      <c r="I35" s="11" t="s">
        <v>188</v>
      </c>
      <c r="J35" s="12" t="s">
        <v>189</v>
      </c>
    </row>
    <row r="36" spans="1:10" ht="55" customHeight="1" x14ac:dyDescent="0.35">
      <c r="A36" s="5">
        <v>26</v>
      </c>
      <c r="B36" s="6" t="s">
        <v>71</v>
      </c>
      <c r="C36" s="6" t="s">
        <v>190</v>
      </c>
      <c r="D36" s="6" t="s">
        <v>72</v>
      </c>
      <c r="E36" s="4"/>
      <c r="F36" s="8"/>
      <c r="G36" s="9" t="str">
        <f t="shared" si="0"/>
        <v/>
      </c>
      <c r="H36" s="13" t="str">
        <f t="shared" si="1"/>
        <v>Saisir mesure →</v>
      </c>
      <c r="I36" s="14" t="s">
        <v>191</v>
      </c>
      <c r="J36" s="15" t="s">
        <v>192</v>
      </c>
    </row>
    <row r="37" spans="1:10" ht="55" customHeight="1" x14ac:dyDescent="0.35">
      <c r="A37" s="2">
        <v>27</v>
      </c>
      <c r="B37" s="3" t="s">
        <v>73</v>
      </c>
      <c r="C37" s="3" t="s">
        <v>193</v>
      </c>
      <c r="D37" s="3" t="s">
        <v>74</v>
      </c>
      <c r="E37" s="4"/>
      <c r="F37" s="8"/>
      <c r="G37" s="9" t="str">
        <f t="shared" si="0"/>
        <v/>
      </c>
      <c r="H37" s="10" t="str">
        <f t="shared" si="1"/>
        <v>Saisir mesure →</v>
      </c>
      <c r="I37" s="11" t="s">
        <v>194</v>
      </c>
      <c r="J37" s="12" t="s">
        <v>195</v>
      </c>
    </row>
    <row r="38" spans="1:10" ht="55" customHeight="1" x14ac:dyDescent="0.35">
      <c r="A38" s="5">
        <v>28</v>
      </c>
      <c r="B38" s="6" t="s">
        <v>75</v>
      </c>
      <c r="C38" s="6" t="s">
        <v>196</v>
      </c>
      <c r="D38" s="6" t="s">
        <v>76</v>
      </c>
      <c r="E38" s="4"/>
      <c r="F38" s="8"/>
      <c r="G38" s="9" t="str">
        <f t="shared" si="0"/>
        <v/>
      </c>
      <c r="H38" s="13" t="str">
        <f t="shared" si="1"/>
        <v>Saisir mesure →</v>
      </c>
      <c r="I38" s="14" t="s">
        <v>197</v>
      </c>
      <c r="J38" s="15" t="s">
        <v>198</v>
      </c>
    </row>
    <row r="39" spans="1:10" ht="20" customHeight="1" x14ac:dyDescent="0.35">
      <c r="A39" s="17" t="s">
        <v>77</v>
      </c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55" customHeight="1" x14ac:dyDescent="0.35">
      <c r="A40" s="5">
        <v>29</v>
      </c>
      <c r="B40" s="6" t="s">
        <v>78</v>
      </c>
      <c r="C40" s="6" t="s">
        <v>79</v>
      </c>
      <c r="D40" s="6" t="s">
        <v>80</v>
      </c>
      <c r="E40" s="4"/>
      <c r="F40" s="8"/>
      <c r="G40" s="9"/>
      <c r="H40" s="13" t="str">
        <f>IF(G40="","Saisir mesure →",IF(ABS(G40)&lt;5,"✅ OK",IF(ABS(G40)&lt;10,"⚠️ WARNING","🔴 CRITIQUE")))</f>
        <v>Saisir mesure →</v>
      </c>
      <c r="I40" s="14" t="s">
        <v>199</v>
      </c>
      <c r="J40" s="15" t="s">
        <v>200</v>
      </c>
    </row>
    <row r="41" spans="1:10" ht="55" customHeight="1" x14ac:dyDescent="0.35">
      <c r="A41" s="2">
        <v>30</v>
      </c>
      <c r="B41" s="3" t="s">
        <v>81</v>
      </c>
      <c r="C41" s="3" t="s">
        <v>82</v>
      </c>
      <c r="D41" s="3" t="s">
        <v>83</v>
      </c>
      <c r="E41" s="4"/>
      <c r="F41" s="8"/>
      <c r="G41" s="9"/>
      <c r="H41" s="10" t="str">
        <f>IF(G41="","Saisir mesure →",IF(ABS(G41)&lt;5,"✅ OK",IF(ABS(G41)&lt;10,"⚠️ WARNING","🔴 CRITIQUE")))</f>
        <v>Saisir mesure →</v>
      </c>
      <c r="I41" s="11" t="s">
        <v>201</v>
      </c>
      <c r="J41" s="12" t="s">
        <v>202</v>
      </c>
    </row>
    <row r="42" spans="1:10" ht="55" customHeight="1" x14ac:dyDescent="0.35">
      <c r="A42" s="5">
        <v>31</v>
      </c>
      <c r="B42" s="6" t="s">
        <v>84</v>
      </c>
      <c r="C42" s="6" t="s">
        <v>85</v>
      </c>
      <c r="D42" s="6" t="s">
        <v>86</v>
      </c>
      <c r="E42" s="4"/>
      <c r="F42" s="8"/>
      <c r="G42" s="9"/>
      <c r="H42" s="13" t="str">
        <f>IF(G42="","Saisir mesure →",IF(ABS(G42)&lt;5,"✅ OK",IF(ABS(G42)&lt;10,"⚠️ WARNING","🔴 CRITIQUE")))</f>
        <v>Saisir mesure →</v>
      </c>
      <c r="I42" s="14" t="s">
        <v>203</v>
      </c>
      <c r="J42" s="15" t="s">
        <v>204</v>
      </c>
    </row>
    <row r="43" spans="1:10" ht="20" customHeight="1" x14ac:dyDescent="0.35">
      <c r="A43" s="17" t="s">
        <v>87</v>
      </c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55" customHeight="1" x14ac:dyDescent="0.35">
      <c r="A44" s="5">
        <v>32</v>
      </c>
      <c r="B44" s="6" t="s">
        <v>88</v>
      </c>
      <c r="C44" s="6" t="s">
        <v>89</v>
      </c>
      <c r="D44" s="6" t="s">
        <v>90</v>
      </c>
      <c r="E44" s="4">
        <v>3</v>
      </c>
      <c r="F44" s="8" t="e">
        <f>#REF!</f>
        <v>#REF!</v>
      </c>
      <c r="G44" s="9" t="e">
        <f t="shared" ref="G44:G53" si="2">IF(OR(F44="",F44=0,E44=0),"",(F44-E44)/ABS(E44)*100)</f>
        <v>#REF!</v>
      </c>
      <c r="H44" s="13" t="e">
        <f t="shared" ref="H44:H53" si="3">IF(G44="","Saisir mesure →",IF(ABS(G44)&lt;5,"✅ OK",IF(ABS(G44)&lt;10,"⚠️ WARNING","🔴 CRITIQUE")))</f>
        <v>#REF!</v>
      </c>
      <c r="I44" s="14" t="s">
        <v>205</v>
      </c>
      <c r="J44" s="15" t="s">
        <v>206</v>
      </c>
    </row>
    <row r="45" spans="1:10" ht="55" customHeight="1" x14ac:dyDescent="0.35">
      <c r="A45" s="2">
        <v>33</v>
      </c>
      <c r="B45" s="3" t="s">
        <v>91</v>
      </c>
      <c r="C45" s="3" t="s">
        <v>92</v>
      </c>
      <c r="D45" s="3" t="s">
        <v>93</v>
      </c>
      <c r="E45" s="4">
        <v>12</v>
      </c>
      <c r="F45" s="8" t="e">
        <f>#REF!</f>
        <v>#REF!</v>
      </c>
      <c r="G45" s="9" t="e">
        <f t="shared" si="2"/>
        <v>#REF!</v>
      </c>
      <c r="H45" s="10" t="e">
        <f t="shared" si="3"/>
        <v>#REF!</v>
      </c>
      <c r="I45" s="11" t="s">
        <v>207</v>
      </c>
      <c r="J45" s="12" t="s">
        <v>208</v>
      </c>
    </row>
    <row r="46" spans="1:10" ht="55" customHeight="1" x14ac:dyDescent="0.35">
      <c r="A46" s="5">
        <v>34</v>
      </c>
      <c r="B46" s="6" t="s">
        <v>94</v>
      </c>
      <c r="C46" s="6" t="s">
        <v>95</v>
      </c>
      <c r="D46" s="6" t="s">
        <v>96</v>
      </c>
      <c r="E46" s="4">
        <v>270</v>
      </c>
      <c r="F46" s="8" t="e">
        <f>#REF!</f>
        <v>#REF!</v>
      </c>
      <c r="G46" s="9" t="e">
        <f t="shared" si="2"/>
        <v>#REF!</v>
      </c>
      <c r="H46" s="13" t="e">
        <f t="shared" si="3"/>
        <v>#REF!</v>
      </c>
      <c r="I46" s="14" t="s">
        <v>209</v>
      </c>
      <c r="J46" s="15" t="s">
        <v>210</v>
      </c>
    </row>
    <row r="47" spans="1:10" ht="55" customHeight="1" x14ac:dyDescent="0.35">
      <c r="A47" s="2">
        <v>35</v>
      </c>
      <c r="B47" s="3" t="s">
        <v>97</v>
      </c>
      <c r="C47" s="3" t="s">
        <v>211</v>
      </c>
      <c r="D47" s="3" t="s">
        <v>98</v>
      </c>
      <c r="E47" s="4">
        <v>0</v>
      </c>
      <c r="F47" s="8" t="e">
        <f>#REF!</f>
        <v>#REF!</v>
      </c>
      <c r="G47" s="9" t="e">
        <f t="shared" si="2"/>
        <v>#REF!</v>
      </c>
      <c r="H47" s="10" t="e">
        <f t="shared" si="3"/>
        <v>#REF!</v>
      </c>
      <c r="I47" s="11" t="s">
        <v>212</v>
      </c>
      <c r="J47" s="12" t="s">
        <v>213</v>
      </c>
    </row>
    <row r="48" spans="1:10" ht="55" customHeight="1" x14ac:dyDescent="0.35">
      <c r="A48" s="5">
        <v>36</v>
      </c>
      <c r="B48" s="6" t="s">
        <v>99</v>
      </c>
      <c r="C48" s="6" t="s">
        <v>214</v>
      </c>
      <c r="D48" s="6" t="s">
        <v>100</v>
      </c>
      <c r="E48" s="4">
        <v>0</v>
      </c>
      <c r="F48" s="8" t="e">
        <f>#REF!</f>
        <v>#REF!</v>
      </c>
      <c r="G48" s="9" t="e">
        <f t="shared" si="2"/>
        <v>#REF!</v>
      </c>
      <c r="H48" s="13" t="e">
        <f t="shared" si="3"/>
        <v>#REF!</v>
      </c>
      <c r="I48" s="14" t="s">
        <v>215</v>
      </c>
      <c r="J48" s="15" t="s">
        <v>216</v>
      </c>
    </row>
    <row r="49" spans="1:10" ht="55" customHeight="1" x14ac:dyDescent="0.35">
      <c r="A49" s="2">
        <v>37</v>
      </c>
      <c r="B49" s="3" t="s">
        <v>101</v>
      </c>
      <c r="C49" s="3" t="s">
        <v>102</v>
      </c>
      <c r="D49" s="3" t="s">
        <v>103</v>
      </c>
      <c r="E49" s="4">
        <v>12</v>
      </c>
      <c r="F49" s="8" t="e">
        <f>#REF!</f>
        <v>#REF!</v>
      </c>
      <c r="G49" s="9" t="e">
        <f t="shared" si="2"/>
        <v>#REF!</v>
      </c>
      <c r="H49" s="10" t="e">
        <f t="shared" si="3"/>
        <v>#REF!</v>
      </c>
      <c r="I49" s="11" t="s">
        <v>217</v>
      </c>
      <c r="J49" s="12" t="s">
        <v>218</v>
      </c>
    </row>
    <row r="50" spans="1:10" ht="55" customHeight="1" x14ac:dyDescent="0.35">
      <c r="A50" s="5">
        <v>38</v>
      </c>
      <c r="B50" s="6" t="s">
        <v>104</v>
      </c>
      <c r="C50" s="6" t="s">
        <v>105</v>
      </c>
      <c r="D50" s="6" t="s">
        <v>106</v>
      </c>
      <c r="E50" s="4">
        <v>270</v>
      </c>
      <c r="F50" s="8" t="e">
        <f>#REF!</f>
        <v>#REF!</v>
      </c>
      <c r="G50" s="9" t="e">
        <f t="shared" si="2"/>
        <v>#REF!</v>
      </c>
      <c r="H50" s="13" t="e">
        <f t="shared" si="3"/>
        <v>#REF!</v>
      </c>
      <c r="I50" s="14" t="s">
        <v>219</v>
      </c>
      <c r="J50" s="15" t="s">
        <v>220</v>
      </c>
    </row>
    <row r="51" spans="1:10" ht="55" customHeight="1" x14ac:dyDescent="0.35">
      <c r="A51" s="2">
        <v>39</v>
      </c>
      <c r="B51" s="3" t="s">
        <v>107</v>
      </c>
      <c r="C51" s="3" t="s">
        <v>108</v>
      </c>
      <c r="D51" s="3" t="s">
        <v>31</v>
      </c>
      <c r="E51" s="4">
        <v>0</v>
      </c>
      <c r="F51" s="8" t="e">
        <f>#REF!</f>
        <v>#REF!</v>
      </c>
      <c r="G51" s="9" t="e">
        <f t="shared" si="2"/>
        <v>#REF!</v>
      </c>
      <c r="H51" s="10" t="e">
        <f t="shared" si="3"/>
        <v>#REF!</v>
      </c>
      <c r="I51" s="11" t="s">
        <v>221</v>
      </c>
      <c r="J51" s="12" t="s">
        <v>222</v>
      </c>
    </row>
    <row r="52" spans="1:10" ht="55" customHeight="1" x14ac:dyDescent="0.35">
      <c r="A52" s="5">
        <v>40</v>
      </c>
      <c r="B52" s="6" t="s">
        <v>109</v>
      </c>
      <c r="C52" s="6" t="s">
        <v>110</v>
      </c>
      <c r="D52" s="6" t="s">
        <v>111</v>
      </c>
      <c r="E52" s="4">
        <v>5</v>
      </c>
      <c r="F52" s="8" t="e">
        <f>#REF!</f>
        <v>#REF!</v>
      </c>
      <c r="G52" s="9" t="e">
        <f t="shared" si="2"/>
        <v>#REF!</v>
      </c>
      <c r="H52" s="13" t="e">
        <f t="shared" si="3"/>
        <v>#REF!</v>
      </c>
      <c r="I52" s="14" t="s">
        <v>223</v>
      </c>
      <c r="J52" s="15" t="s">
        <v>224</v>
      </c>
    </row>
    <row r="53" spans="1:10" ht="55" customHeight="1" x14ac:dyDescent="0.35">
      <c r="A53" s="2">
        <v>41</v>
      </c>
      <c r="B53" s="3" t="s">
        <v>112</v>
      </c>
      <c r="C53" s="3" t="s">
        <v>113</v>
      </c>
      <c r="D53" s="3" t="s">
        <v>114</v>
      </c>
      <c r="E53" s="4">
        <v>190</v>
      </c>
      <c r="F53" s="8" t="e">
        <f>#REF!</f>
        <v>#REF!</v>
      </c>
      <c r="G53" s="9" t="e">
        <f t="shared" si="2"/>
        <v>#REF!</v>
      </c>
      <c r="H53" s="10" t="e">
        <f t="shared" si="3"/>
        <v>#REF!</v>
      </c>
      <c r="I53" s="11" t="s">
        <v>225</v>
      </c>
      <c r="J53" s="12" t="s">
        <v>226</v>
      </c>
    </row>
    <row r="54" spans="1:10" ht="20" customHeight="1" x14ac:dyDescent="0.35">
      <c r="A54" s="21" t="s">
        <v>227</v>
      </c>
      <c r="B54" s="18"/>
      <c r="C54" s="18"/>
      <c r="D54" s="18"/>
      <c r="E54" s="18"/>
      <c r="F54" s="18"/>
      <c r="G54" s="18"/>
      <c r="H54" s="18"/>
      <c r="I54" s="18"/>
      <c r="J54" s="18"/>
    </row>
    <row r="55" spans="1:10" ht="55" customHeight="1" x14ac:dyDescent="0.35">
      <c r="A55" s="2">
        <v>42</v>
      </c>
      <c r="B55" s="3" t="s">
        <v>115</v>
      </c>
      <c r="C55" s="3" t="s">
        <v>116</v>
      </c>
      <c r="D55" s="3" t="s">
        <v>117</v>
      </c>
      <c r="E55" s="4"/>
      <c r="F55" s="8"/>
      <c r="G55" s="9" t="str">
        <f>IF(OR(F55="",F55=0,E55=0),"",(F55-E55)/ABS(E55)*100)</f>
        <v/>
      </c>
      <c r="H55" s="10" t="str">
        <f>IF(G55="","Saisir mesure →",IF(ABS(G55)&lt;5,"✅ OK",IF(ABS(G55)&lt;10,"⚠️ WARNING","🔴 CRITIQUE")))</f>
        <v>Saisir mesure →</v>
      </c>
      <c r="I55" s="11" t="s">
        <v>228</v>
      </c>
      <c r="J55" s="12" t="s">
        <v>229</v>
      </c>
    </row>
    <row r="56" spans="1:10" ht="55" customHeight="1" x14ac:dyDescent="0.35">
      <c r="A56" s="5">
        <v>43</v>
      </c>
      <c r="B56" s="6" t="s">
        <v>118</v>
      </c>
      <c r="C56" s="6" t="s">
        <v>119</v>
      </c>
      <c r="D56" s="6" t="s">
        <v>120</v>
      </c>
      <c r="E56" s="4"/>
      <c r="F56" s="8"/>
      <c r="G56" s="9" t="str">
        <f>IF(OR(F56="",F56=0,E56=0),"",(F56-E56)/ABS(E56)*100)</f>
        <v/>
      </c>
      <c r="H56" s="13" t="str">
        <f>IF(G56="","Saisir mesure →",IF(ABS(G56)&lt;5,"✅ OK",IF(ABS(G56)&lt;10,"⚠️ WARNING","🔴 CRITIQUE")))</f>
        <v>Saisir mesure →</v>
      </c>
      <c r="I56" s="14" t="s">
        <v>230</v>
      </c>
      <c r="J56" s="15" t="s">
        <v>229</v>
      </c>
    </row>
    <row r="60" spans="1:10" ht="14.5" customHeight="1" x14ac:dyDescent="0.35">
      <c r="D60" s="34" t="s">
        <v>231</v>
      </c>
      <c r="E60" s="35"/>
      <c r="F60" s="35"/>
      <c r="G60" s="35"/>
      <c r="H60" s="35"/>
      <c r="I60" s="35"/>
    </row>
    <row r="61" spans="1:10" x14ac:dyDescent="0.35">
      <c r="D61" s="32" t="s">
        <v>232</v>
      </c>
      <c r="E61" s="33"/>
      <c r="F61" s="33"/>
      <c r="G61" s="33"/>
      <c r="H61" s="33"/>
      <c r="I61" s="33"/>
    </row>
    <row r="62" spans="1:10" x14ac:dyDescent="0.35">
      <c r="D62" s="22" t="s">
        <v>127</v>
      </c>
      <c r="E62" s="22" t="s">
        <v>233</v>
      </c>
      <c r="F62" s="22" t="s">
        <v>234</v>
      </c>
      <c r="G62" s="22" t="s">
        <v>234</v>
      </c>
      <c r="H62" s="22" t="s">
        <v>235</v>
      </c>
      <c r="I62" s="22" t="s">
        <v>236</v>
      </c>
    </row>
    <row r="63" spans="1:10" ht="25" x14ac:dyDescent="0.35">
      <c r="D63" s="23" t="s">
        <v>237</v>
      </c>
      <c r="E63" s="24" t="s">
        <v>238</v>
      </c>
      <c r="F63" s="24"/>
      <c r="G63" s="24"/>
      <c r="H63" s="25" t="s">
        <v>239</v>
      </c>
      <c r="I63" s="25" t="s">
        <v>240</v>
      </c>
    </row>
    <row r="64" spans="1:10" ht="25" x14ac:dyDescent="0.35">
      <c r="D64" s="26" t="s">
        <v>241</v>
      </c>
      <c r="E64" s="27" t="s">
        <v>242</v>
      </c>
      <c r="F64" s="27"/>
      <c r="G64" s="27"/>
      <c r="H64" s="28" t="s">
        <v>243</v>
      </c>
      <c r="I64" s="28" t="s">
        <v>244</v>
      </c>
    </row>
    <row r="65" spans="4:9" ht="25" x14ac:dyDescent="0.35">
      <c r="D65" s="29" t="s">
        <v>245</v>
      </c>
      <c r="E65" s="30" t="s">
        <v>246</v>
      </c>
      <c r="F65" s="30"/>
      <c r="G65" s="30"/>
      <c r="H65" s="31" t="s">
        <v>247</v>
      </c>
      <c r="I65" s="31" t="s">
        <v>248</v>
      </c>
    </row>
  </sheetData>
  <mergeCells count="15">
    <mergeCell ref="A54:J54"/>
    <mergeCell ref="D60:I60"/>
    <mergeCell ref="D61:I61"/>
    <mergeCell ref="A27:J27"/>
    <mergeCell ref="A30:J30"/>
    <mergeCell ref="A39:J39"/>
    <mergeCell ref="A4:J4"/>
    <mergeCell ref="A43:J43"/>
    <mergeCell ref="A1:J1"/>
    <mergeCell ref="A14:J14"/>
    <mergeCell ref="A8:J8"/>
    <mergeCell ref="A22:J22"/>
    <mergeCell ref="A16:J16"/>
    <mergeCell ref="A18:J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2_Diagnostic_Auto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Manal KHRIBICH</cp:lastModifiedBy>
  <dcterms:created xsi:type="dcterms:W3CDTF">2026-04-09T10:35:21Z</dcterms:created>
  <dcterms:modified xsi:type="dcterms:W3CDTF">2026-04-09T10:50:21Z</dcterms:modified>
</cp:coreProperties>
</file>